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08d8ec7fe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08c7aac763c4344"/>
    <x:sheet xmlns:r="http://schemas.openxmlformats.org/officeDocument/2006/relationships" name="Example Day" sheetId="2" r:id="Rdcbf1c31c3f74489"/>
    <x:sheet xmlns:r="http://schemas.openxmlformats.org/officeDocument/2006/relationships" name="Buildings" sheetId="3" r:id="R5834d0cb9cb8470c"/>
    <x:sheet xmlns:r="http://schemas.openxmlformats.org/officeDocument/2006/relationships" name="Sources Land Use" sheetId="4" r:id="Ra400b3e7f5084139"/>
    <x:sheet xmlns:r="http://schemas.openxmlformats.org/officeDocument/2006/relationships" name="Treatment Matrix" sheetId="5" r:id="R983e5cb793824833"/>
    <x:sheet xmlns:r="http://schemas.openxmlformats.org/officeDocument/2006/relationships" name="Rules" sheetId="6" r:id="Rc82ac977258d4bb6"/>
    <x:sheet xmlns:r="http://schemas.openxmlformats.org/officeDocument/2006/relationships" name="Events" sheetId="7" r:id="R6c5d1f6e61164434"/>
    <x:sheet xmlns:r="http://schemas.openxmlformats.org/officeDocument/2006/relationships" name="Progression" sheetId="8" r:id="Rc562977284a54fda"/>
    <x:sheet xmlns:r="http://schemas.openxmlformats.org/officeDocument/2006/relationships" name="Provenance" sheetId="9" r:id="Ra52a83988e32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"/>
    <x:numFmt numFmtId="202" formatCode="&quot;$&quot;#,##0"/>
    <x:numFmt numFmtId="203" formatCode="0"/>
    <x:numFmt numFmtId="204" formatCode="yyyy-mm-dd"/>
  </x:numFmts>
  <x:fonts count="6">
    <x:font>
      <x:sz val="11"/>
      <x:name val="Carlito"/>
    </x:font>
    <x:font>
      <x:b/>
      <x:sz val="16"/>
      <x:color rgb="FF183B4E"/>
      <x:name val="Arial"/>
    </x:font>
    <x:font>
      <x:b/>
      <x:sz val="10"/>
      <x:color rgb="FFFFFFFF"/>
      <x:name val="Arial"/>
    </x:font>
    <x:font>
      <x:sz val="10"/>
      <x:color rgb="FF1D252C"/>
      <x:name val="Arial"/>
    </x:font>
    <x:font>
      <x:b/>
      <x:sz val="10"/>
      <x:color rgb="FF183B4E"/>
      <x:name val="Arial"/>
    </x:font>
    <x:font>
      <x:b/>
      <x:sz val="12"/>
      <x:color rgb="FF1D252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B4E"/>
      </x:patternFill>
    </x:fill>
    <x:fill>
      <x:patternFill patternType="solid">
        <x:fgColor rgb="FFDDEFF7"/>
      </x:patternFill>
    </x:fill>
    <x:fill>
      <x:patternFill patternType="solid">
        <x:fgColor rgb="FFFFD447"/>
      </x:patternFill>
    </x:fill>
    <x:fill>
      <x:patternFill patternType="solid">
        <x:fgColor rgb="FFFFF4C2"/>
      </x:patternFill>
    </x:fill>
  </x:fills>
  <x:borders count="10">
    <x:border/>
    <x:border>
      <x:bottom style="medium">
        <x:color rgb="FF183B4E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4D9"/>
      </x:bottom>
    </x:border>
    <x:border>
      <x:top style="thin">
        <x:color rgb="FFCBD4D9"/>
      </x:top>
      <x:bottom style="thin">
        <x:color rgb="FFCBD4D9"/>
      </x:bottom>
    </x:border>
    <x:border>
      <x:left style="thin">
        <x:color rgb="FF1976A3"/>
      </x:left>
      <x:top style="thin">
        <x:color rgb="FF1976A3"/>
      </x:top>
      <x:bottom style="thin">
        <x:color rgb="FF1976A3"/>
      </x:bottom>
    </x:border>
    <x:border>
      <x:top style="thin">
        <x:color rgb="FF1976A3"/>
      </x:top>
      <x:bottom style="thin">
        <x:color rgb="FF1976A3"/>
      </x:bottom>
    </x:border>
    <x:border>
      <x:right style="thin">
        <x:color rgb="FF1976A3"/>
      </x:right>
      <x:top style="thin">
        <x:color rgb="FF1976A3"/>
      </x:top>
      <x:bottom style="thin">
        <x:color rgb="FF1976A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8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201" fontId="5" fillId="4" borderId="6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200" fontId="3" fillId="5" borderId="6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204" fontId="3" fillId="0" borderId="5" xfId="0" applyNumberFormat="1" applyFont="1" applyFill="1" applyBorder="1" applyAlignment="1">
      <x:alignment vertical="center" wrapText="1"/>
    </x:xf>
    <x:xf numFmtId="204" fontId="3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083f7260d443d" /><Relationship Type="http://schemas.openxmlformats.org/officeDocument/2006/relationships/theme" Target="/xl/theme/theme1.xml" Id="Ra73448d1f43b4da2" /><Relationship Type="http://schemas.openxmlformats.org/officeDocument/2006/relationships/sharedStrings" Target="/xl/sharedStrings.xml" Id="R90cb1ac620d2478b" /><Relationship Type="http://schemas.openxmlformats.org/officeDocument/2006/relationships/worksheet" Target="/xl/worksheets/sheet1.xml" Id="R408c7aac763c4344" /><Relationship Type="http://schemas.openxmlformats.org/officeDocument/2006/relationships/worksheet" Target="/xl/worksheets/sheet2.xml" Id="Rdcbf1c31c3f74489" /><Relationship Type="http://schemas.openxmlformats.org/officeDocument/2006/relationships/worksheet" Target="/xl/worksheets/sheet3.xml" Id="R5834d0cb9cb8470c" /><Relationship Type="http://schemas.openxmlformats.org/officeDocument/2006/relationships/worksheet" Target="/xl/worksheets/sheet4.xml" Id="Ra400b3e7f5084139" /><Relationship Type="http://schemas.openxmlformats.org/officeDocument/2006/relationships/worksheet" Target="/xl/worksheets/sheet5.xml" Id="R983e5cb793824833" /><Relationship Type="http://schemas.openxmlformats.org/officeDocument/2006/relationships/worksheet" Target="/xl/worksheets/sheet6.xml" Id="Rc82ac977258d4bb6" /><Relationship Type="http://schemas.openxmlformats.org/officeDocument/2006/relationships/worksheet" Target="/xl/worksheets/sheet7.xml" Id="R6c5d1f6e61164434" /><Relationship Type="http://schemas.openxmlformats.org/officeDocument/2006/relationships/worksheet" Target="/xl/worksheets/sheet8.xml" Id="Rc562977284a54fda" /><Relationship Type="http://schemas.openxmlformats.org/officeDocument/2006/relationships/worksheet" Target="/xl/worksheets/sheet9.xml" Id="Ra52a83988e3247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.670000076293945" hidden="0" customWidth="1"/>
    <x:col min="2" max="2" width="21.110000610351562" hidden="0" customWidth="1"/>
    <x:col min="3" max="3" width="18.329999923706055" hidden="0" customWidth="1"/>
    <x:col min="4" max="4" width="20" hidden="0" customWidth="1"/>
    <x:col min="5" max="5" width="14.4399995803833" hidden="0" customWidth="1"/>
    <x:col min="6" max="6" width="21.110000610351562" hidden="0" customWidth="1"/>
    <x:col min="7" max="7" width="20" hidden="0" customWidth="1"/>
    <x:col min="8" max="8" width="10.5600004196167" hidden="0" customWidth="1"/>
  </x:cols>
  <x:sheetData>
    <x:row r="2" ht="25" customHeight="1">
      <x:c r="A2" s="2" t="str">
        <x:v>Waterworks simulation framework</x:v>
      </x:c>
      <x:c r="B2" s="1"/>
      <x:c r="C2" s="1"/>
      <x:c r="D2" s="1"/>
      <x:c r="E2" s="1"/>
      <x:c r="F2" s="1"/>
      <x:c r="G2" s="1"/>
      <x:c r="H2" s="1"/>
    </x:row>
    <x:row r="4" ht="31" customHeight="1">
      <x:c r="A4" s="14" t="str">
        <x:v>Framework status</x:v>
      </x:c>
      <x:c r="B4" s="15" t="str">
        <x:v>Genre</x:v>
      </x:c>
      <x:c r="C4" s="15" t="str">
        <x:v>Simulation tick</x:v>
      </x:c>
      <x:c r="D4" s="15" t="str">
        <x:v>Primary goal</x:v>
      </x:c>
      <x:c r="E4" s="15" t="str">
        <x:v>Scientific backbone</x:v>
      </x:c>
      <x:c r="F4" s="15" t="str">
        <x:v>MVP map</x:v>
      </x:c>
      <x:c r="G4" s="15" t="str">
        <x:v>Scenario length</x:v>
      </x:c>
      <x:c r="H4" s="16" t="str">
        <x:v>Balance version</x:v>
      </x:c>
    </x:row>
    <x:row r="5">
      <x:c r="A5" s="20" t="str">
        <x:v>Ready for wireframing</x:v>
      </x:c>
      <x:c r="B5" s="20" t="str">
        <x:v>Water-system city builder</x:v>
      </x:c>
      <x:c r="C5" s="20" t="str">
        <x:v>1 day</x:v>
      </x:c>
      <x:c r="D5" s="20" t="str">
        <x:v>Reliable clean-water service</x:v>
      </x:c>
      <x:c r="E5" s="20" t="str">
        <x:v>WHO catchment-to-consumer</x:v>
      </x:c>
      <x:c r="F5" s="20" t="str">
        <x:v>1 fictional community</x:v>
      </x:c>
      <x:c r="G5" s="20" t="str">
        <x:v>12–20 minutes</x:v>
      </x:c>
      <x:c r="H5" s="20" t="str">
        <x:v>v1.0</x:v>
      </x:c>
    </x:row>
    <x:row r="8" ht="31" customHeight="1">
      <x:c r="A8" s="14" t="str">
        <x:v>System</x:v>
      </x:c>
      <x:c r="B8" s="15" t="str">
        <x:v>Player decision</x:v>
      </x:c>
      <x:c r="C8" s="15" t="str">
        <x:v>Immediate response</x:v>
      </x:c>
      <x:c r="D8" s="15" t="str">
        <x:v>Longer outcome</x:v>
      </x:c>
      <x:c r="E8" s="15" t="str">
        <x:v>Visible metric</x:v>
      </x:c>
      <x:c r="F8" s="15" t="str">
        <x:v>Human effect</x:v>
      </x:c>
      <x:c r="G8" s="15" t="str">
        <x:v>Scientific status</x:v>
      </x:c>
      <x:c r="H8" s="16" t="str">
        <x:v>MVP</x:v>
      </x:c>
    </x:row>
    <x:row r="9">
      <x:c r="A9" s="20" t="str">
        <x:v>Quantity</x:v>
      </x:c>
      <x:c r="B9" s="20" t="str">
        <x:v>Allocate water and manage demand</x:v>
      </x:c>
      <x:c r="C9" s="20" t="str">
        <x:v>Storage and flows change</x:v>
      </x:c>
      <x:c r="D9" s="20" t="str">
        <x:v>Shortages or reserves emerge</x:v>
      </x:c>
      <x:c r="E9" s="20" t="str">
        <x:v>Availability</x:v>
      </x:c>
      <x:c r="F9" s="20" t="str">
        <x:v>Routines continue or stop</x:v>
      </x:c>
      <x:c r="G9" s="20" t="str">
        <x:v>Relationship sourced; values balanced</x:v>
      </x:c>
      <x:c r="H9" s="20" t="str">
        <x:v>Yes</x:v>
      </x:c>
    </x:row>
    <x:row r="10">
      <x:c r="A10" s="21" t="str">
        <x:v>Quality</x:v>
      </x:c>
      <x:c r="B10" s="21" t="str">
        <x:v>Test and choose treatment stages</x:v>
      </x:c>
      <x:c r="C10" s="21" t="str">
        <x:v>Lab readings change</x:v>
      </x:c>
      <x:c r="D10" s="21" t="str">
        <x:v>Health risk changes over time</x:v>
      </x:c>
      <x:c r="E10" s="21" t="str">
        <x:v>Quality</x:v>
      </x:c>
      <x:c r="F10" s="21" t="str">
        <x:v>Illness risk and trust change</x:v>
      </x:c>
      <x:c r="G10" s="21" t="str">
        <x:v>Relationship sourced; coefficients balanced</x:v>
      </x:c>
      <x:c r="H10" s="21" t="str">
        <x:v>Yes</x:v>
      </x:c>
    </x:row>
    <x:row r="11">
      <x:c r="A11" s="21" t="str">
        <x:v>Distribution</x:v>
      </x:c>
      <x:c r="B11" s="21" t="str">
        <x:v>Repair leaks and extend pipes</x:v>
      </x:c>
      <x:c r="C11" s="21" t="str">
        <x:v>Loss and reach change</x:v>
      </x:c>
      <x:c r="D11" s="21" t="str">
        <x:v>More people receive service</x:v>
      </x:c>
      <x:c r="E11" s="21" t="str">
        <x:v>Access</x:v>
      </x:c>
      <x:c r="F11" s="21" t="str">
        <x:v>Travel time is reclaimed</x:v>
      </x:c>
      <x:c r="G11" s="21" t="str">
        <x:v>Relationship sourced; values balanced</x:v>
      </x:c>
      <x:c r="H11" s="21" t="str">
        <x:v>Yes</x:v>
      </x:c>
    </x:row>
    <x:row r="12">
      <x:c r="A12" s="21" t="str">
        <x:v>Reliability</x:v>
      </x:c>
      <x:c r="B12" s="21" t="str">
        <x:v>Maintain assets and keep reserves</x:v>
      </x:c>
      <x:c r="C12" s="21" t="str">
        <x:v>Capacity and condition change</x:v>
      </x:c>
      <x:c r="D12" s="21" t="str">
        <x:v>Interruptions become less likely</x:v>
      </x:c>
      <x:c r="E12" s="21" t="str">
        <x:v>Reliability</x:v>
      </x:c>
      <x:c r="F12" s="21" t="str">
        <x:v>School and clinic schedules stabilize</x:v>
      </x:c>
      <x:c r="G12" s="21" t="str">
        <x:v>Relationship sourced; values balanced</x:v>
      </x:c>
      <x:c r="H12" s="21" t="str">
        <x:v>Yes</x:v>
      </x:c>
    </x:row>
    <x:row r="13">
      <x:c r="A13" s="21" t="str">
        <x:v>Watershed</x:v>
      </x:c>
      <x:c r="B13" s="21" t="str">
        <x:v>Protect land or permit development</x:v>
      </x:c>
      <x:c r="C13" s="21" t="str">
        <x:v>Runoff modifiers change</x:v>
      </x:c>
      <x:c r="D13" s="21" t="str">
        <x:v>Source treatment load changes</x:v>
      </x:c>
      <x:c r="E13" s="21" t="str">
        <x:v>Resilience</x:v>
      </x:c>
      <x:c r="F13" s="21" t="str">
        <x:v>Food, jobs, and environmental tradeoffs</x:v>
      </x:c>
      <x:c r="G13" s="21" t="str">
        <x:v>Relationship sourced; values balanced</x:v>
      </x:c>
      <x:c r="H13" s="21" t="str">
        <x:v>Yes</x:v>
      </x:c>
    </x:row>
    <x:row r="14">
      <x:c r="A14" s="21" t="str">
        <x:v>Wastewater</x:v>
      </x:c>
      <x:c r="B14" s="21" t="str">
        <x:v>Treat, discharge, or reuse</x:v>
      </x:c>
      <x:c r="C14" s="21" t="str">
        <x:v>Return flow changes</x:v>
      </x:c>
      <x:c r="D14" s="21" t="str">
        <x:v>Freshwater need and downstream risk change</x:v>
      </x:c>
      <x:c r="E14" s="21" t="str">
        <x:v>Compliance</x:v>
      </x:c>
      <x:c r="F14" s="21" t="str">
        <x:v>Local and downstream users are affected</x:v>
      </x:c>
      <x:c r="G14" s="21" t="str">
        <x:v>Relationship sourced; values balanced</x:v>
      </x:c>
      <x:c r="H14" s="21" t="str">
        <x:v>Yes</x:v>
      </x:c>
    </x:row>
    <x:row r="17" ht="31" customHeight="1">
      <x:c r="A17" s="14" t="str">
        <x:v>Five locked scores</x:v>
      </x:c>
      <x:c r="B17" s="15" t="str">
        <x:v>Quality</x:v>
      </x:c>
      <x:c r="C17" s="15" t="str">
        <x:v>Availability</x:v>
      </x:c>
      <x:c r="D17" s="15" t="str">
        <x:v>Reliability</x:v>
      </x:c>
      <x:c r="E17" s="15" t="str">
        <x:v>Access</x:v>
      </x:c>
      <x:c r="F17" s="15" t="str">
        <x:v>Resilience</x:v>
      </x:c>
      <x:c r="G17" s="15" t="str">
        <x:v>Combined score</x:v>
      </x:c>
      <x:c r="H17" s="16" t="str">
        <x:v>Impact summary</x:v>
      </x:c>
    </x:row>
    <x:row r="18">
      <x:c r="A18" s="22" t="str">
        <x:v>Range</x:v>
      </x:c>
      <x:c r="B18" s="22" t="str">
        <x:v>0–100</x:v>
      </x:c>
      <x:c r="C18" s="22" t="str">
        <x:v>0–100</x:v>
      </x:c>
      <x:c r="D18" s="22" t="str">
        <x:v>0–100</x:v>
      </x:c>
      <x:c r="E18" s="22" t="str">
        <x:v>0–100</x:v>
      </x:c>
      <x:c r="F18" s="22" t="str">
        <x:v>0–100</x:v>
      </x:c>
      <x:c r="G18" s="22" t="str">
        <x:v>Water Security</x:v>
      </x:c>
      <x:c r="H18" s="22" t="str">
        <x:v>Secondary only</x:v>
      </x:c>
    </x:row>
    <x:row r="21" ht="45" customHeight="1">
      <x:c r="A21" s="25" t="str">
        <x:v>Source disclosure</x:v>
      </x:c>
      <x:c r="B21" s="28" t="str">
        <x:v>Most scientific relationships are simplified from WHO Guidelines for Drinking-water Quality (2026). Costs, timings, capacities, and removal coefficients are gameplay assumptions unless specifically sourced.</x:v>
      </x:c>
      <x:c r="C21" s="26"/>
      <x:c r="D21" s="26"/>
      <x:c r="E21" s="26"/>
      <x:c r="F21" s="26"/>
      <x:c r="G21" s="26"/>
      <x:c r="H21" s="27"/>
    </x:row>
  </x:sheetData>
  <x:mergeCells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110000610351562" hidden="0" customWidth="1"/>
    <x:col min="2" max="2" width="11.109999656677246" hidden="0" customWidth="1"/>
    <x:col min="3" max="3" width="15" hidden="0" customWidth="1"/>
    <x:col min="4" max="4" width="2.7799999713897705" hidden="0" customWidth="1"/>
    <x:col min="5" max="5" width="18.889999389648438" hidden="0" customWidth="1"/>
    <x:col min="6" max="6" width="36.66999816894531" hidden="0" customWidth="1"/>
    <x:col min="7" max="7" width="11.670000076293945" hidden="0" customWidth="1"/>
    <x:col min="8" max="8" width="13.890000343322754" hidden="0" customWidth="1"/>
  </x:cols>
  <x:sheetData>
    <x:row r="2" ht="25" customHeight="1">
      <x:c r="A2" s="2" t="str">
        <x:v>Example day calculation</x:v>
      </x:c>
      <x:c r="B2" s="1"/>
      <x:c r="C2" s="1"/>
      <x:c r="D2" s="1"/>
      <x:c r="E2" s="1"/>
      <x:c r="F2" s="1"/>
      <x:c r="G2" s="1"/>
      <x:c r="H2" s="1"/>
    </x:row>
    <x:row r="4" ht="31" customHeight="1">
      <x:c r="A4" s="14" t="str">
        <x:v>Quantity input</x:v>
      </x:c>
      <x:c r="B4" s="15" t="str">
        <x:v>Value</x:v>
      </x:c>
      <x:c r="C4" s="16" t="str">
        <x:v>Unit / note</x:v>
      </x:c>
      <x:c r="E4" s="14" t="str">
        <x:v>Quantity result</x:v>
      </x:c>
      <x:c r="F4" s="15" t="str">
        <x:v>Formula</x:v>
      </x:c>
      <x:c r="G4" s="15" t="str">
        <x:v>Result</x:v>
      </x:c>
      <x:c r="H4" s="16" t="str">
        <x:v>Unit</x:v>
      </x:c>
    </x:row>
    <x:row r="5">
      <x:c r="A5" s="22" t="str">
        <x:v>Opening treated storage</x:v>
      </x:c>
      <x:c r="B5" s="36" t="n">
        <x:v>120</x:v>
      </x:c>
      <x:c r="C5" s="22" t="str">
        <x:v>water units</x:v>
      </x:c>
      <x:c r="E5" s="22" t="str">
        <x:v>Condition factor</x:v>
      </x:c>
      <x:c r="F5" s="22" t="str">
        <x:v>0.55 + 0.45 × condition</x:v>
      </x:c>
      <x:c r="G5" s="31" t="n">
        <x:f>0.55+0.45*B8</x:f>
        <x:v>0.9325000000000001</x:v>
      </x:c>
      <x:c r="H5" s="22" t="str">
        <x:v>factor</x:v>
      </x:c>
    </x:row>
    <x:row r="6">
      <x:c r="A6" s="29" t="str">
        <x:v>Raw-water intake requested</x:v>
      </x:c>
      <x:c r="B6" s="37" t="n">
        <x:v>160</x:v>
      </x:c>
      <x:c r="C6" s="29" t="str">
        <x:v>water units/day</x:v>
      </x:c>
      <x:c r="E6" s="29" t="str">
        <x:v>Effective treatment capacity</x:v>
      </x:c>
      <x:c r="F6" s="29" t="str">
        <x:v>rated × condition × power × staffing</x:v>
      </x:c>
      <x:c r="G6" s="32" t="n">
        <x:f>B7*G5*B9*B10</x:f>
        <x:v>132.88125000000002</x:v>
      </x:c>
      <x:c r="H6" s="29" t="str">
        <x:v>water units/day</x:v>
      </x:c>
    </x:row>
    <x:row r="7">
      <x:c r="A7" s="29" t="str">
        <x:v>Rated treatment capacity</x:v>
      </x:c>
      <x:c r="B7" s="37" t="n">
        <x:v>150</x:v>
      </x:c>
      <x:c r="C7" s="29" t="str">
        <x:v>water units/day</x:v>
      </x:c>
      <x:c r="E7" s="29" t="str">
        <x:v>Treatment throughput</x:v>
      </x:c>
      <x:c r="F7" s="29" t="str">
        <x:v>minimum of intake and effective capacity</x:v>
      </x:c>
      <x:c r="G7" s="32" t="n">
        <x:f>MIN(B6,G6)</x:f>
        <x:v>132.88125000000002</x:v>
      </x:c>
      <x:c r="H7" s="29" t="str">
        <x:v>water units/day</x:v>
      </x:c>
    </x:row>
    <x:row r="8">
      <x:c r="A8" s="29" t="str">
        <x:v>Plant condition</x:v>
      </x:c>
      <x:c r="B8" s="38" t="n">
        <x:v>0.85</x:v>
      </x:c>
      <x:c r="C8" s="29" t="str">
        <x:v>0–1</x:v>
      </x:c>
      <x:c r="E8" s="29" t="str">
        <x:v>Loss rate</x:v>
      </x:c>
      <x:c r="F8" s="29" t="str">
        <x:v>base loss − leak reduction, bounded 3%–40%</x:v>
      </x:c>
      <x:c r="G8" s="30" t="n">
        <x:f>MAX(0.03,MIN(0.4,B13-B14))</x:f>
        <x:v>0.11</x:v>
      </x:c>
      <x:c r="H8" s="29" t="str">
        <x:v>fraction</x:v>
      </x:c>
    </x:row>
    <x:row r="9">
      <x:c r="A9" s="29" t="str">
        <x:v>Power availability</x:v>
      </x:c>
      <x:c r="B9" s="38" t="n">
        <x:v>1</x:v>
      </x:c>
      <x:c r="C9" s="29" t="str">
        <x:v>0–1</x:v>
      </x:c>
      <x:c r="E9" s="29" t="str">
        <x:v>Treated water available</x:v>
      </x:c>
      <x:c r="F9" s="29" t="str">
        <x:v>opening storage + throughput</x:v>
      </x:c>
      <x:c r="G9" s="32" t="n">
        <x:f>B5+G7</x:f>
        <x:v>252.88125000000002</x:v>
      </x:c>
      <x:c r="H9" s="29" t="str">
        <x:v>water units</x:v>
      </x:c>
    </x:row>
    <x:row r="10">
      <x:c r="A10" s="29" t="str">
        <x:v>Staffing availability</x:v>
      </x:c>
      <x:c r="B10" s="38" t="n">
        <x:v>0.95</x:v>
      </x:c>
      <x:c r="C10" s="29" t="str">
        <x:v>0–1</x:v>
      </x:c>
      <x:c r="E10" s="29" t="str">
        <x:v>Delivered water</x:v>
      </x:c>
      <x:c r="F10" s="29" t="str">
        <x:v>minimum of available/release/distribution × (1-loss)</x:v>
      </x:c>
      <x:c r="G10" s="32" t="n">
        <x:f>MIN(G9,B16,B12)*(1-G8)</x:f>
        <x:v>151.3</x:v>
      </x:c>
      <x:c r="H10" s="29" t="str">
        <x:v>water units</x:v>
      </x:c>
    </x:row>
    <x:row r="11">
      <x:c r="A11" s="29" t="str">
        <x:v>Gross demand</x:v>
      </x:c>
      <x:c r="B11" s="37" t="n">
        <x:v>170</x:v>
      </x:c>
      <x:c r="C11" s="29" t="str">
        <x:v>water units/day</x:v>
      </x:c>
      <x:c r="E11" s="29" t="str">
        <x:v>Availability</x:v>
      </x:c>
      <x:c r="F11" s="29" t="str">
        <x:v>delivered ÷ demand, capped at 100%</x:v>
      </x:c>
      <x:c r="G11" s="30" t="n">
        <x:f>MIN(1,G10/B11)</x:f>
        <x:v>0.89</x:v>
      </x:c>
      <x:c r="H11" s="29" t="str">
        <x:v>score fraction</x:v>
      </x:c>
    </x:row>
    <x:row r="12">
      <x:c r="A12" s="29" t="str">
        <x:v>Distribution capacity</x:v>
      </x:c>
      <x:c r="B12" s="37" t="n">
        <x:v>180</x:v>
      </x:c>
      <x:c r="C12" s="29" t="str">
        <x:v>water units/day</x:v>
      </x:c>
      <x:c r="E12" s="29" t="str">
        <x:v>Closing storage</x:v>
      </x:c>
      <x:c r="F12" s="29" t="str">
        <x:v>opening + throughput − release, bounded to storage</x:v>
      </x:c>
      <x:c r="G12" s="32" t="n">
        <x:f>MAX(0,MIN(B15,B5+G7-B16))</x:f>
        <x:v>82.88125000000002</x:v>
      </x:c>
      <x:c r="H12" s="29" t="str">
        <x:v>water units</x:v>
      </x:c>
    </x:row>
    <x:row r="13">
      <x:c r="A13" s="29" t="str">
        <x:v>Base distribution loss</x:v>
      </x:c>
      <x:c r="B13" s="38" t="n">
        <x:v>0.16</x:v>
      </x:c>
      <x:c r="C13" s="29" t="str">
        <x:v>fraction</x:v>
      </x:c>
    </x:row>
    <x:row r="14">
      <x:c r="A14" s="29" t="str">
        <x:v>Leak-program reduction</x:v>
      </x:c>
      <x:c r="B14" s="38" t="n">
        <x:v>0.05</x:v>
      </x:c>
      <x:c r="C14" s="29" t="str">
        <x:v>fraction</x:v>
      </x:c>
    </x:row>
    <x:row r="15">
      <x:c r="A15" s="29" t="str">
        <x:v>Storage capacity</x:v>
      </x:c>
      <x:c r="B15" s="37" t="n">
        <x:v>250</x:v>
      </x:c>
      <x:c r="C15" s="29" t="str">
        <x:v>water units</x:v>
      </x:c>
    </x:row>
    <x:row r="16">
      <x:c r="A16" s="29" t="str">
        <x:v>Water released</x:v>
      </x:c>
      <x:c r="B16" s="37" t="n">
        <x:v>170</x:v>
      </x:c>
      <x:c r="C16" s="29" t="str">
        <x:v>water units</x:v>
      </x:c>
    </x:row>
    <x:row r="19" ht="31" customHeight="1">
      <x:c r="A19" s="14" t="str">
        <x:v>Tap-water input</x:v>
      </x:c>
      <x:c r="B19" s="15" t="str">
        <x:v>Value</x:v>
      </x:c>
      <x:c r="C19" s="16" t="str">
        <x:v>Game scale</x:v>
      </x:c>
      <x:c r="E19" s="14" t="str">
        <x:v>Score input / output</x:v>
      </x:c>
      <x:c r="F19" s="15" t="str">
        <x:v>Weight or value</x:v>
      </x:c>
      <x:c r="G19" s="15" t="str">
        <x:v>Formula</x:v>
      </x:c>
      <x:c r="H19" s="16" t="str">
        <x:v>Score</x:v>
      </x:c>
    </x:row>
    <x:row r="20">
      <x:c r="A20" s="22" t="str">
        <x:v>Turbidity</x:v>
      </x:c>
      <x:c r="B20" s="36" t="n">
        <x:v>12</x:v>
      </x:c>
      <x:c r="C20" s="22" t="str">
        <x:v>0–100 load</x:v>
      </x:c>
      <x:c r="E20" s="22" t="str">
        <x:v>Hazard index</x:v>
      </x:c>
      <x:c r="F20" s="22"/>
      <x:c r="G20" s="22" t="n">
        <x:f>0.35*B21+0.20*B20+0.15*B22+0.15*B23+0.10*B24+0.05*B25</x:f>
        <x:v>13.500000000000002</x:v>
      </x:c>
      <x:c r="H20" s="22" t="n">
        <x:f>G20</x:f>
        <x:v>13.500000000000002</x:v>
      </x:c>
    </x:row>
    <x:row r="21">
      <x:c r="A21" s="29" t="str">
        <x:v>Microbial risk</x:v>
      </x:c>
      <x:c r="B21" s="37" t="n">
        <x:v>8</x:v>
      </x:c>
      <x:c r="C21" s="29" t="str">
        <x:v>0–100 load</x:v>
      </x:c>
      <x:c r="E21" s="29" t="str">
        <x:v>pH penalty</x:v>
      </x:c>
      <x:c r="F21" s="29"/>
      <x:c r="G21" s="29" t="n">
        <x:f>IF(AND(B26&gt;=6.5,B26&lt;=8.5),0,MIN(25,ABS(B26-7.5)*8))</x:f>
        <x:v>0</x:v>
      </x:c>
      <x:c r="H21" s="29" t="n">
        <x:f>G21</x:f>
        <x:v>0</x:v>
      </x:c>
    </x:row>
    <x:row r="22">
      <x:c r="A22" s="29" t="str">
        <x:v>Nutrients</x:v>
      </x:c>
      <x:c r="B22" s="37" t="n">
        <x:v>24</x:v>
      </x:c>
      <x:c r="C22" s="29" t="str">
        <x:v>0–100 load</x:v>
      </x:c>
      <x:c r="E22" s="29" t="str">
        <x:v>Quality</x:v>
      </x:c>
      <x:c r="F22" s="30" t="n">
        <x:v>0.3</x:v>
      </x:c>
      <x:c r="G22" s="29" t="n">
        <x:f>MAX(0,MIN(100,100-G20-G21-B27))</x:f>
        <x:v>82.5</x:v>
      </x:c>
      <x:c r="H22" s="29" t="n">
        <x:f>G22</x:f>
        <x:v>82.5</x:v>
      </x:c>
    </x:row>
    <x:row r="23">
      <x:c r="A23" s="29" t="str">
        <x:v>Chemical risk</x:v>
      </x:c>
      <x:c r="B23" s="37" t="n">
        <x:v>16</x:v>
      </x:c>
      <x:c r="C23" s="29" t="str">
        <x:v>0–100 load</x:v>
      </x:c>
      <x:c r="E23" s="29" t="str">
        <x:v>Availability</x:v>
      </x:c>
      <x:c r="F23" s="30" t="n">
        <x:v>0.25</x:v>
      </x:c>
      <x:c r="G23" s="29" t="n">
        <x:f>G11*100</x:f>
        <x:v>89</x:v>
      </x:c>
      <x:c r="H23" s="29" t="n">
        <x:f>G23</x:f>
        <x:v>89</x:v>
      </x:c>
    </x:row>
    <x:row r="24">
      <x:c r="A24" s="29" t="str">
        <x:v>Organic load</x:v>
      </x:c>
      <x:c r="B24" s="37" t="n">
        <x:v>18</x:v>
      </x:c>
      <x:c r="C24" s="29" t="str">
        <x:v>0–100 load</x:v>
      </x:c>
      <x:c r="E24" s="29" t="str">
        <x:v>Reliability</x:v>
      </x:c>
      <x:c r="F24" s="30" t="n">
        <x:v>0.2</x:v>
      </x:c>
      <x:c r="G24" s="29"/>
      <x:c r="H24" s="29" t="n">
        <x:v>82</x:v>
      </x:c>
    </x:row>
    <x:row r="25">
      <x:c r="A25" s="29" t="str">
        <x:v>Mineral penalty</x:v>
      </x:c>
      <x:c r="B25" s="37" t="n">
        <x:v>10</x:v>
      </x:c>
      <x:c r="C25" s="29" t="str">
        <x:v>0–100 penalty</x:v>
      </x:c>
      <x:c r="E25" s="29" t="str">
        <x:v>Access</x:v>
      </x:c>
      <x:c r="F25" s="30" t="n">
        <x:v>0.15</x:v>
      </x:c>
      <x:c r="G25" s="29"/>
      <x:c r="H25" s="29" t="n">
        <x:v>76</x:v>
      </x:c>
    </x:row>
    <x:row r="26">
      <x:c r="A26" s="29" t="str">
        <x:v>pH</x:v>
      </x:c>
      <x:c r="B26" s="37" t="n">
        <x:v>7.3</x:v>
      </x:c>
      <x:c r="C26" s="29" t="str">
        <x:v>0–14</x:v>
      </x:c>
      <x:c r="E26" s="29" t="str">
        <x:v>Resilience</x:v>
      </x:c>
      <x:c r="F26" s="30" t="n">
        <x:v>0.1</x:v>
      </x:c>
      <x:c r="G26" s="29"/>
      <x:c r="H26" s="29" t="n">
        <x:v>68</x:v>
      </x:c>
    </x:row>
    <x:row r="27">
      <x:c r="A27" s="29" t="str">
        <x:v>Distribution penalty</x:v>
      </x:c>
      <x:c r="B27" s="37" t="n">
        <x:v>4</x:v>
      </x:c>
      <x:c r="C27" s="29" t="str">
        <x:v>0–100 penalty</x:v>
      </x:c>
      <x:c r="E27" s="29" t="str">
        <x:v>Water Security base</x:v>
      </x:c>
      <x:c r="F27" s="29"/>
      <x:c r="G27" s="29" t="n">
        <x:f>SUMPRODUCT(F22:F26,H22:H26)</x:f>
        <x:v>81.60000000000001</x:v>
      </x:c>
      <x:c r="H27" s="29" t="n">
        <x:f>G27</x:f>
        <x:v>81.60000000000001</x:v>
      </x:c>
    </x:row>
    <x:row r="28">
      <x:c r="E28" s="29" t="str">
        <x:v>Water Security with gates</x:v>
      </x:c>
      <x:c r="F28" s="29"/>
      <x:c r="G28" s="29" t="n">
        <x:f>MIN(G27,IF(H22&lt;50,49,100),IF(H23&lt;40,59,100),IF(H24&lt;40,64,100))</x:f>
        <x:v>81.60000000000001</x:v>
      </x:c>
      <x:c r="H28" s="35" t="n">
        <x:f>G28</x:f>
        <x:v>81.60000000000001</x:v>
      </x:c>
    </x:row>
    <x:row r="31" ht="38" customHeight="1">
      <x:c r="A31" s="25" t="str">
        <x:v>Interpretation</x:v>
      </x:c>
      <x:c r="B31" s="28" t="str">
        <x:v>The example day has strong quality but incomplete access and modest resilience. Expanding intake alone would not solve the access and resilience weaknesses.</x:v>
      </x:c>
      <x:c r="C31" s="26"/>
      <x:c r="D31" s="26"/>
      <x:c r="E31" s="26"/>
      <x:c r="F31" s="26"/>
      <x:c r="G31" s="26"/>
      <x:c r="H31" s="27"/>
    </x:row>
  </x:sheetData>
  <x:mergeCells>
    <x:mergeCell ref="B31:H31"/>
  </x:mergeCells>
  <x:conditionalFormatting sqref="H22:H28">
    <x:cfRule type="colorScale" priority="1">
      <x:colorScale>
        <x:cfvo type="min"/>
        <x:cfvo type="percentile" val="50"/>
        <x:cfvo type="max"/>
        <x:color rgb="FFF8E1E1"/>
        <x:color rgb="FFFFF4C2"/>
        <x:color rgb="FFDFF1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09999656677246" hidden="0" customWidth="1"/>
    <x:col min="2" max="2" width="13.329999923706055" hidden="0" customWidth="1"/>
    <x:col min="3" max="3" width="10" hidden="0" customWidth="1"/>
    <x:col min="4" max="4" width="13.890000343322754" hidden="0" customWidth="1"/>
    <x:col min="5" max="5" width="11.670000076293945" hidden="0" customWidth="1"/>
    <x:col min="6" max="6" width="11.670000076293945" hidden="0" customWidth="1"/>
    <x:col min="7" max="7" width="10" hidden="0" customWidth="1"/>
    <x:col min="8" max="8" width="21.110000610351562" hidden="0" customWidth="1"/>
    <x:col min="9" max="9" width="25.559999465942383" hidden="0" customWidth="1"/>
  </x:cols>
  <x:sheetData>
    <x:row r="2" ht="25" customHeight="1">
      <x:c r="A2" s="2" t="str">
        <x:v>Building demand and community effects</x:v>
      </x:c>
      <x:c r="B2" s="1"/>
      <x:c r="C2" s="1"/>
      <x:c r="D2" s="1"/>
      <x:c r="E2" s="1"/>
      <x:c r="F2" s="1"/>
      <x:c r="G2" s="1"/>
      <x:c r="H2" s="1"/>
      <x:c r="I2" s="1"/>
    </x:row>
    <x:row r="4" ht="31" customHeight="1">
      <x:c r="A4" s="14" t="str">
        <x:v>Building ID</x:v>
      </x:c>
      <x:c r="B4" s="15" t="str">
        <x:v>Building type</x:v>
      </x:c>
      <x:c r="C4" s="15" t="str">
        <x:v>Base demand</x:v>
      </x:c>
      <x:c r="D4" s="15" t="str">
        <x:v>People / activity served</x:v>
      </x:c>
      <x:c r="E4" s="15" t="str">
        <x:v>Reliability priority</x:v>
      </x:c>
      <x:c r="F4" s="15" t="str">
        <x:v>Wastewater return</x:v>
      </x:c>
      <x:c r="G4" s="15" t="str">
        <x:v>Daily revenue</x:v>
      </x:c>
      <x:c r="H4" s="15" t="str">
        <x:v>Primary benefit</x:v>
      </x:c>
      <x:c r="I4" s="16" t="str">
        <x:v>Shortage consequence</x:v>
      </x:c>
    </x:row>
    <x:row r="5">
      <x:c r="A5" s="22" t="str">
        <x:v>BLD_HOME</x:v>
      </x:c>
      <x:c r="B5" s="22" t="str">
        <x:v>Small home</x:v>
      </x:c>
      <x:c r="C5" s="31" t="n">
        <x:v>4</x:v>
      </x:c>
      <x:c r="D5" s="22" t="n">
        <x:v>4</x:v>
      </x:c>
      <x:c r="E5" s="22" t="n">
        <x:v>3</x:v>
      </x:c>
      <x:c r="F5" s="39" t="n">
        <x:v>0.8</x:v>
      </x:c>
      <x:c r="G5" s="40" t="n">
        <x:v>5</x:v>
      </x:c>
      <x:c r="H5" s="22" t="str">
        <x:v>Housing and household routines</x:v>
      </x:c>
      <x:c r="I5" s="22" t="str">
        <x:v>Hygiene and household routines decline</x:v>
      </x:c>
    </x:row>
    <x:row r="6">
      <x:c r="A6" s="29" t="str">
        <x:v>BLD_APT</x:v>
      </x:c>
      <x:c r="B6" s="29" t="str">
        <x:v>Apartment</x:v>
      </x:c>
      <x:c r="C6" s="32" t="n">
        <x:v>18</x:v>
      </x:c>
      <x:c r="D6" s="29" t="n">
        <x:v>24</x:v>
      </x:c>
      <x:c r="E6" s="29" t="n">
        <x:v>3</x:v>
      </x:c>
      <x:c r="F6" s="30" t="n">
        <x:v>0.82</x:v>
      </x:c>
      <x:c r="G6" s="41" t="n">
        <x:v>24</x:v>
      </x:c>
      <x:c r="H6" s="29" t="str">
        <x:v>Dense housing and revenue</x:v>
      </x:c>
      <x:c r="I6" s="29" t="str">
        <x:v>Many residents lose service at once</x:v>
      </x:c>
    </x:row>
    <x:row r="7">
      <x:c r="A7" s="29" t="str">
        <x:v>BLD_SCHOOL</x:v>
      </x:c>
      <x:c r="B7" s="29" t="str">
        <x:v>School</x:v>
      </x:c>
      <x:c r="C7" s="32" t="n">
        <x:v>12</x:v>
      </x:c>
      <x:c r="D7" s="29" t="n">
        <x:v>150</x:v>
      </x:c>
      <x:c r="E7" s="29" t="n">
        <x:v>4</x:v>
      </x:c>
      <x:c r="F7" s="30" t="n">
        <x:v>0.75</x:v>
      </x:c>
      <x:c r="G7" s="41" t="n">
        <x:v>4</x:v>
      </x:c>
      <x:c r="H7" s="29" t="str">
        <x:v>Education and community use</x:v>
      </x:c>
      <x:c r="I7" s="29" t="str">
        <x:v>Attendance and learning decline</x:v>
      </x:c>
    </x:row>
    <x:row r="8">
      <x:c r="A8" s="29" t="str">
        <x:v>BLD_CLINIC</x:v>
      </x:c>
      <x:c r="B8" s="29" t="str">
        <x:v>Clinic</x:v>
      </x:c>
      <x:c r="C8" s="32" t="n">
        <x:v>16</x:v>
      </x:c>
      <x:c r="D8" s="29" t="n">
        <x:v>60</x:v>
      </x:c>
      <x:c r="E8" s="29" t="n">
        <x:v>5</x:v>
      </x:c>
      <x:c r="F8" s="30" t="n">
        <x:v>0.85</x:v>
      </x:c>
      <x:c r="G8" s="41" t="n">
        <x:v>3</x:v>
      </x:c>
      <x:c r="H8" s="29" t="str">
        <x:v>Critical health service</x:v>
      </x:c>
      <x:c r="I8" s="29" t="str">
        <x:v>Treatment capacity and infection control decline</x:v>
      </x:c>
    </x:row>
    <x:row r="9">
      <x:c r="A9" s="29" t="str">
        <x:v>BLD_MARKET</x:v>
      </x:c>
      <x:c r="B9" s="29" t="str">
        <x:v>Market</x:v>
      </x:c>
      <x:c r="C9" s="32" t="n">
        <x:v>8</x:v>
      </x:c>
      <x:c r="D9" s="29" t="n">
        <x:v>80</x:v>
      </x:c>
      <x:c r="E9" s="29" t="n">
        <x:v>2</x:v>
      </x:c>
      <x:c r="F9" s="30" t="n">
        <x:v>0.7</x:v>
      </x:c>
      <x:c r="G9" s="41" t="n">
        <x:v>14</x:v>
      </x:c>
      <x:c r="H9" s="29" t="str">
        <x:v>Food access and local economy</x:v>
      </x:c>
      <x:c r="I9" s="29" t="str">
        <x:v>Business activity declines</x:v>
      </x:c>
    </x:row>
    <x:row r="10">
      <x:c r="A10" s="29" t="str">
        <x:v>BLD_FARM</x:v>
      </x:c>
      <x:c r="B10" s="29" t="str">
        <x:v>Small farm</x:v>
      </x:c>
      <x:c r="C10" s="32" t="n">
        <x:v>35</x:v>
      </x:c>
      <x:c r="D10" s="29" t="n">
        <x:v>40</x:v>
      </x:c>
      <x:c r="E10" s="29" t="n">
        <x:v>2</x:v>
      </x:c>
      <x:c r="F10" s="30" t="n">
        <x:v>0.25</x:v>
      </x:c>
      <x:c r="G10" s="41" t="n">
        <x:v>20</x:v>
      </x:c>
      <x:c r="H10" s="29" t="str">
        <x:v>Food and jobs</x:v>
      </x:c>
      <x:c r="I10" s="29" t="str">
        <x:v>Yield and income decline</x:v>
      </x:c>
    </x:row>
    <x:row r="11">
      <x:c r="A11" s="29" t="str">
        <x:v>BLD_INDUSTRY</x:v>
      </x:c>
      <x:c r="B11" s="29" t="str">
        <x:v>Light industry</x:v>
      </x:c>
      <x:c r="C11" s="32" t="n">
        <x:v>28</x:v>
      </x:c>
      <x:c r="D11" s="29" t="n">
        <x:v>55</x:v>
      </x:c>
      <x:c r="E11" s="29" t="n">
        <x:v>2</x:v>
      </x:c>
      <x:c r="F11" s="30" t="n">
        <x:v>0.65</x:v>
      </x:c>
      <x:c r="G11" s="41" t="n">
        <x:v>34</x:v>
      </x:c>
      <x:c r="H11" s="29" t="str">
        <x:v>Jobs and revenue</x:v>
      </x:c>
      <x:c r="I11" s="29" t="str">
        <x:v>Jobs and production decline</x:v>
      </x:c>
    </x:row>
    <x:row r="12">
      <x:c r="A12" s="29" t="str">
        <x:v>BLD_PARK</x:v>
      </x:c>
      <x:c r="B12" s="29" t="str">
        <x:v>Park</x:v>
      </x:c>
      <x:c r="C12" s="32" t="n">
        <x:v>6</x:v>
      </x:c>
      <x:c r="D12" s="29" t="n">
        <x:v>120</x:v>
      </x:c>
      <x:c r="E12" s="29" t="n">
        <x:v>1</x:v>
      </x:c>
      <x:c r="F12" s="30" t="n">
        <x:v>0.05</x:v>
      </x:c>
      <x:c r="G12" s="41" t="n">
        <x:v>0</x:v>
      </x:c>
      <x:c r="H12" s="29" t="str">
        <x:v>Cooling, recreation, infiltration</x:v>
      </x:c>
      <x:c r="I12" s="29" t="str">
        <x:v>Low immediate harm; environmental quality declines</x:v>
      </x:c>
    </x:row>
    <x:row r="15" ht="38" customHeight="1">
      <x:c r="A15" s="25" t="str">
        <x:v>Note</x:v>
      </x:c>
      <x:c r="B15" s="28" t="str">
        <x:v>Demand values are gameplay units, not universal real-world consumption rates. Priority 5 is highest. The player can override priority after a visible warning.</x:v>
      </x:c>
      <x:c r="C15" s="26"/>
      <x:c r="D15" s="26"/>
      <x:c r="E15" s="26"/>
      <x:c r="F15" s="26"/>
      <x:c r="G15" s="26"/>
      <x:c r="H15" s="26"/>
      <x:c r="I15" s="27"/>
    </x:row>
  </x:sheetData>
  <x:mergeCells>
    <x:mergeCell ref="B15:I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2.779999732971191" hidden="0" customWidth="1"/>
    <x:col min="3" max="3" width="11.670000076293945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9.4399995803833" hidden="0" customWidth="1"/>
    <x:col min="10" max="10" width="9.4399995803833" hidden="0" customWidth="1"/>
    <x:col min="11" max="11" width="26.670000076293945" hidden="0" customWidth="1"/>
  </x:cols>
  <x:sheetData>
    <x:row r="2" ht="25" customHeight="1">
      <x:c r="A2" s="2" t="str">
        <x:v>Water sources and land-use modifiers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4" ht="31" customHeight="1">
      <x:c r="A4" s="14" t="str">
        <x:v>Source ID</x:v>
      </x:c>
      <x:c r="B4" s="15" t="str">
        <x:v>Source type</x:v>
      </x:c>
      <x:c r="C4" s="15" t="str">
        <x:v>Volume behavior</x:v>
      </x:c>
      <x:c r="D4" s="15" t="str">
        <x:v>Recharge speed</x:v>
      </x:c>
      <x:c r="E4" s="15" t="str">
        <x:v>Typical strengths</x:v>
      </x:c>
      <x:c r="F4" s="15" t="str">
        <x:v>Typical risks</x:v>
      </x:c>
      <x:c r="G4" s="15" t="str">
        <x:v>MVP</x:v>
      </x:c>
      <x:c r="H4" s="16" t="str">
        <x:v>Scientific / balance status</x:v>
      </x:c>
    </x:row>
    <x:row r="5">
      <x:c r="A5" s="20" t="str">
        <x:v>SRC_RIVER</x:v>
      </x:c>
      <x:c r="B5" s="20" t="str">
        <x:v>Surface water</x:v>
      </x:c>
      <x:c r="C5" s="20" t="str">
        <x:v>Rain-responsive</x:v>
      </x:c>
      <x:c r="D5" s="20" t="n">
        <x:v>3</x:v>
      </x:c>
      <x:c r="E5" s="20" t="str">
        <x:v>Visible supply; expandable intake</x:v>
      </x:c>
      <x:c r="F5" s="20" t="str">
        <x:v>Runoff, turbidity, microbial and upstream pollution</x:v>
      </x:c>
      <x:c r="G5" s="20" t="str">
        <x:v>Yes</x:v>
      </x:c>
      <x:c r="H5" s="20" t="str">
        <x:v>Relationships sourced; scenario values balanced</x:v>
      </x:c>
    </x:row>
    <x:row r="6">
      <x:c r="A6" s="21" t="str">
        <x:v>SRC_WELL</x:v>
      </x:c>
      <x:c r="B6" s="21" t="str">
        <x:v>Groundwater</x:v>
      </x:c>
      <x:c r="C6" s="21" t="str">
        <x:v>Stable until overdrawn</x:v>
      </x:c>
      <x:c r="D6" s="21" t="n">
        <x:v>1</x:v>
      </x:c>
      <x:c r="E6" s="21" t="str">
        <x:v>Lower turbidity in base scenario</x:v>
      </x:c>
      <x:c r="F6" s="21" t="str">
        <x:v>Slow recharge; minerals, salinity, natural chemicals</x:v>
      </x:c>
      <x:c r="G6" s="21" t="str">
        <x:v>Later</x:v>
      </x:c>
      <x:c r="H6" s="21" t="str">
        <x:v>Relationships sourced; scenario values balanced</x:v>
      </x:c>
    </x:row>
    <x:row r="7">
      <x:c r="A7" s="21" t="str">
        <x:v>SRC_RAIN</x:v>
      </x:c>
      <x:c r="B7" s="21" t="str">
        <x:v>Rainwater</x:v>
      </x:c>
      <x:c r="C7" s="21" t="str">
        <x:v>Intermittent</x:v>
      </x:c>
      <x:c r="D7" s="21" t="n">
        <x:v>5</x:v>
      </x:c>
      <x:c r="E7" s="21" t="str">
        <x:v>Reduces runoff and non-potable demand</x:v>
      </x:c>
      <x:c r="F7" s="21" t="str">
        <x:v>Storage and collection quality</x:v>
      </x:c>
      <x:c r="G7" s="21" t="str">
        <x:v>MVP action</x:v>
      </x:c>
      <x:c r="H7" s="21" t="str">
        <x:v>Relationships sourced; scenario values balanced</x:v>
      </x:c>
    </x:row>
    <x:row r="8">
      <x:c r="A8" s="21" t="str">
        <x:v>SRC_REUSE</x:v>
      </x:c>
      <x:c r="B8" s="21" t="str">
        <x:v>Reclaimed water</x:v>
      </x:c>
      <x:c r="C8" s="21" t="str">
        <x:v>Depends on city use</x:v>
      </x:c>
      <x:c r="D8" s="21" t="n">
        <x:v>4</x:v>
      </x:c>
      <x:c r="E8" s="21" t="str">
        <x:v>Offsets eligible freshwater demand</x:v>
      </x:c>
      <x:c r="F8" s="21" t="str">
        <x:v>Requires treatment, energy, and separate eligible use</x:v>
      </x:c>
      <x:c r="G8" s="21" t="str">
        <x:v>Mid game</x:v>
      </x:c>
      <x:c r="H8" s="21" t="str">
        <x:v>Relationships sourced; scenario values balanced</x:v>
      </x:c>
    </x:row>
    <x:row r="11" ht="31" customHeight="1">
      <x:c r="A11" s="14" t="str">
        <x:v>Land-use ID</x:v>
      </x:c>
      <x:c r="B11" s="15" t="str">
        <x:v>Tile type</x:v>
      </x:c>
      <x:c r="C11" s="15" t="str">
        <x:v>Demand</x:v>
      </x:c>
      <x:c r="D11" s="15" t="str">
        <x:v>Turbidity</x:v>
      </x:c>
      <x:c r="E11" s="15" t="str">
        <x:v>Microbial</x:v>
      </x:c>
      <x:c r="F11" s="15" t="str">
        <x:v>Nutrients</x:v>
      </x:c>
      <x:c r="G11" s="15" t="str">
        <x:v>Organic</x:v>
      </x:c>
      <x:c r="H11" s="15" t="str">
        <x:v>Chemical</x:v>
      </x:c>
      <x:c r="I11" s="15" t="str">
        <x:v>Recharge</x:v>
      </x:c>
      <x:c r="J11" s="15" t="str">
        <x:v>Runoff</x:v>
      </x:c>
      <x:c r="K11" s="16" t="str">
        <x:v>Primary tradeoff</x:v>
      </x:c>
    </x:row>
    <x:row r="12">
      <x:c r="A12" s="22" t="str">
        <x:v>LAND_FOREST</x:v>
      </x:c>
      <x:c r="B12" s="22" t="str">
        <x:v>Forest</x:v>
      </x:c>
      <x:c r="C12" s="42" t="n">
        <x:v>0</x:v>
      </x:c>
      <x:c r="D12" s="42" t="n">
        <x:v>-8</x:v>
      </x:c>
      <x:c r="E12" s="42" t="n">
        <x:v>-4</x:v>
      </x:c>
      <x:c r="F12" s="42" t="n">
        <x:v>-4</x:v>
      </x:c>
      <x:c r="G12" s="42" t="n">
        <x:v>-3</x:v>
      </x:c>
      <x:c r="H12" s="42" t="n">
        <x:v>0</x:v>
      </x:c>
      <x:c r="I12" s="42" t="n">
        <x:v>8</x:v>
      </x:c>
      <x:c r="J12" s="42" t="n">
        <x:v>-10</x:v>
      </x:c>
      <x:c r="K12" s="22" t="str">
        <x:v>Protects source and recharge; limits development</x:v>
      </x:c>
    </x:row>
    <x:row r="13">
      <x:c r="A13" s="29" t="str">
        <x:v>LAND_WETLAND</x:v>
      </x:c>
      <x:c r="B13" s="29" t="str">
        <x:v>Wetland</x:v>
      </x:c>
      <x:c r="C13" s="43" t="n">
        <x:v>0</x:v>
      </x:c>
      <x:c r="D13" s="43" t="n">
        <x:v>-7</x:v>
      </x:c>
      <x:c r="E13" s="43" t="n">
        <x:v>-5</x:v>
      </x:c>
      <x:c r="F13" s="43" t="n">
        <x:v>-8</x:v>
      </x:c>
      <x:c r="G13" s="43" t="n">
        <x:v>-6</x:v>
      </x:c>
      <x:c r="H13" s="43" t="n">
        <x:v>-2</x:v>
      </x:c>
      <x:c r="I13" s="43" t="n">
        <x:v>5</x:v>
      </x:c>
      <x:c r="J13" s="43" t="n">
        <x:v>-14</x:v>
      </x:c>
      <x:c r="K13" s="29" t="str">
        <x:v>Reduces runoff and flooding; occupies land</x:v>
      </x:c>
    </x:row>
    <x:row r="14">
      <x:c r="A14" s="29" t="str">
        <x:v>LAND_FARM</x:v>
      </x:c>
      <x:c r="B14" s="29" t="str">
        <x:v>Farm</x:v>
      </x:c>
      <x:c r="C14" s="43" t="n">
        <x:v>35</x:v>
      </x:c>
      <x:c r="D14" s="43" t="n">
        <x:v>4</x:v>
      </x:c>
      <x:c r="E14" s="43" t="n">
        <x:v>5</x:v>
      </x:c>
      <x:c r="F14" s="43" t="n">
        <x:v>12</x:v>
      </x:c>
      <x:c r="G14" s="43" t="n">
        <x:v>8</x:v>
      </x:c>
      <x:c r="H14" s="43" t="n">
        <x:v>2</x:v>
      </x:c>
      <x:c r="I14" s="43" t="n">
        <x:v>-2</x:v>
      </x:c>
      <x:c r="J14" s="43" t="n">
        <x:v>8</x:v>
      </x:c>
      <x:c r="K14" s="29" t="str">
        <x:v>Food and jobs; runoff depends on management</x:v>
      </x:c>
    </x:row>
    <x:row r="15">
      <x:c r="A15" s="29" t="str">
        <x:v>LAND_HOUSING</x:v>
      </x:c>
      <x:c r="B15" s="29" t="str">
        <x:v>Housing</x:v>
      </x:c>
      <x:c r="C15" s="43" t="n">
        <x:v>18</x:v>
      </x:c>
      <x:c r="D15" s="43" t="n">
        <x:v>2</x:v>
      </x:c>
      <x:c r="E15" s="43" t="n">
        <x:v>4</x:v>
      </x:c>
      <x:c r="F15" s="43" t="n">
        <x:v>3</x:v>
      </x:c>
      <x:c r="G15" s="43" t="n">
        <x:v>4</x:v>
      </x:c>
      <x:c r="H15" s="43" t="n">
        <x:v>1</x:v>
      </x:c>
      <x:c r="I15" s="43" t="n">
        <x:v>-3</x:v>
      </x:c>
      <x:c r="J15" s="43" t="n">
        <x:v>5</x:v>
      </x:c>
      <x:c r="K15" s="29" t="str">
        <x:v>Population and revenue; demand and wastewater</x:v>
      </x:c>
    </x:row>
    <x:row r="16">
      <x:c r="A16" s="29" t="str">
        <x:v>LAND_INDUSTRY</x:v>
      </x:c>
      <x:c r="B16" s="29" t="str">
        <x:v>Industry</x:v>
      </x:c>
      <x:c r="C16" s="43" t="n">
        <x:v>28</x:v>
      </x:c>
      <x:c r="D16" s="43" t="n">
        <x:v>3</x:v>
      </x:c>
      <x:c r="E16" s="43" t="n">
        <x:v>1</x:v>
      </x:c>
      <x:c r="F16" s="43" t="n">
        <x:v>2</x:v>
      </x:c>
      <x:c r="G16" s="43" t="n">
        <x:v>3</x:v>
      </x:c>
      <x:c r="H16" s="43" t="n">
        <x:v>14</x:v>
      </x:c>
      <x:c r="I16" s="43" t="n">
        <x:v>-4</x:v>
      </x:c>
      <x:c r="J16" s="43" t="n">
        <x:v>7</x:v>
      </x:c>
      <x:c r="K16" s="29" t="str">
        <x:v>Jobs and revenue; chemical-risk potential</x:v>
      </x:c>
    </x:row>
    <x:row r="17">
      <x:c r="A17" s="29" t="str">
        <x:v>LAND_PAVEMENT</x:v>
      </x:c>
      <x:c r="B17" s="29" t="str">
        <x:v>Pavement</x:v>
      </x:c>
      <x:c r="C17" s="43" t="n">
        <x:v>0</x:v>
      </x:c>
      <x:c r="D17" s="43" t="n">
        <x:v>5</x:v>
      </x:c>
      <x:c r="E17" s="43" t="n">
        <x:v>2</x:v>
      </x:c>
      <x:c r="F17" s="43" t="n">
        <x:v>2</x:v>
      </x:c>
      <x:c r="G17" s="43" t="n">
        <x:v>2</x:v>
      </x:c>
      <x:c r="H17" s="43" t="n">
        <x:v>3</x:v>
      </x:c>
      <x:c r="I17" s="43" t="n">
        <x:v>-12</x:v>
      </x:c>
      <x:c r="J17" s="43" t="n">
        <x:v>15</x:v>
      </x:c>
      <x:c r="K17" s="29" t="str">
        <x:v>Enables access; increases runoff</x:v>
      </x:c>
    </x:row>
    <x:row r="18">
      <x:c r="A18" s="29" t="str">
        <x:v>LAND_CONSTRUCT</x:v>
      </x:c>
      <x:c r="B18" s="29" t="str">
        <x:v>Construction</x:v>
      </x:c>
      <x:c r="C18" s="43" t="n">
        <x:v>5</x:v>
      </x:c>
      <x:c r="D18" s="43" t="n">
        <x:v>15</x:v>
      </x:c>
      <x:c r="E18" s="43" t="n">
        <x:v>2</x:v>
      </x:c>
      <x:c r="F18" s="43" t="n">
        <x:v>2</x:v>
      </x:c>
      <x:c r="G18" s="43" t="n">
        <x:v>2</x:v>
      </x:c>
      <x:c r="H18" s="43" t="n">
        <x:v>2</x:v>
      </x:c>
      <x:c r="I18" s="43" t="n">
        <x:v>-5</x:v>
      </x:c>
      <x:c r="J18" s="43" t="n">
        <x:v>10</x:v>
      </x:c>
      <x:c r="K18" s="29" t="str">
        <x:v>Temporary growth; erosion and disruption</x:v>
      </x:c>
    </x:row>
    <x:row r="21" ht="40" customHeight="1">
      <x:c r="A21" s="25" t="str">
        <x:v>Coefficient meaning</x:v>
      </x:c>
      <x:c r="B21" s="28" t="str">
        <x:v>Positive contaminant values add game-load during full runoff exposure. Negative values are source-protection reductions. They are tunable balance assumptions, not environmental measurements.</x:v>
      </x:c>
      <x:c r="C21" s="26"/>
      <x:c r="D21" s="26"/>
      <x:c r="E21" s="26"/>
      <x:c r="F21" s="26"/>
      <x:c r="G21" s="26"/>
      <x:c r="H21" s="26"/>
      <x:c r="I21" s="26"/>
      <x:c r="J21" s="26"/>
      <x:c r="K21" s="27"/>
    </x:row>
  </x:sheetData>
  <x:mergeCells>
    <x:mergeCell ref="B21:K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09999656677246" hidden="0" customWidth="1"/>
    <x:col min="2" max="2" width="19.440000534057617" hidden="0" customWidth="1"/>
    <x:col min="3" max="3" width="8.329999923706055" hidden="0" customWidth="1"/>
    <x:col min="4" max="4" width="10" hidden="0" customWidth="1"/>
    <x:col min="5" max="5" width="9.4399995803833" hidden="0" customWidth="1"/>
    <x:col min="6" max="6" width="7.21999979019165" hidden="0" customWidth="1"/>
    <x:col min="7" max="7" width="7.78000020980835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1.109999656677246" hidden="0" customWidth="1"/>
    <x:col min="14" max="14" width="27.780000686645508" hidden="0" customWidth="1"/>
    <x:col min="15" max="15" width="8.329999923706055" hidden="0" customWidth="1"/>
    <x:col min="16" max="16" width="23.329999923706055" hidden="0" customWidth="1"/>
  </x:cols>
  <x:sheetData>
    <x:row r="2" ht="25" customHeight="1">
      <x:c r="A2" s="2" t="str">
        <x:v>Treatment and conservation mechanics matrix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4" ht="31" customHeight="1">
      <x:c r="A4" s="14" t="str">
        <x:v>Process ID</x:v>
      </x:c>
      <x:c r="B4" s="15" t="str">
        <x:v>Process</x:v>
      </x:c>
      <x:c r="C4" s="15" t="str">
        <x:v>Capacity</x:v>
      </x:c>
      <x:c r="D4" s="15" t="str">
        <x:v>Build cost</x:v>
      </x:c>
      <x:c r="E4" s="15" t="str">
        <x:v>Daily cost</x:v>
      </x:c>
      <x:c r="F4" s="15" t="str">
        <x:v>Energy</x:v>
      </x:c>
      <x:c r="G4" s="15" t="str">
        <x:v>Build days</x:v>
      </x:c>
      <x:c r="H4" s="15" t="str">
        <x:v>Turbidity removal</x:v>
      </x:c>
      <x:c r="I4" s="15" t="str">
        <x:v>Microbial removal</x:v>
      </x:c>
      <x:c r="J4" s="15" t="str">
        <x:v>Nutrient removal</x:v>
      </x:c>
      <x:c r="K4" s="15" t="str">
        <x:v>Organic removal</x:v>
      </x:c>
      <x:c r="L4" s="15" t="str">
        <x:v>Chemical removal</x:v>
      </x:c>
      <x:c r="M4" s="15" t="str">
        <x:v>Mineral/salt removal</x:v>
      </x:c>
      <x:c r="N4" s="15" t="str">
        <x:v>Residual / limitation</x:v>
      </x:c>
      <x:c r="O4" s="15" t="str">
        <x:v>Unlock</x:v>
      </x:c>
      <x:c r="P4" s="16" t="str">
        <x:v>Coefficient status</x:v>
      </x:c>
    </x:row>
    <x:row r="5">
      <x:c r="A5" s="22" t="str">
        <x:v>TRT_SCREEN</x:v>
      </x:c>
      <x:c r="B5" s="22" t="str">
        <x:v>Screening</x:v>
      </x:c>
      <x:c r="C5" s="22" t="n">
        <x:v>180</x:v>
      </x:c>
      <x:c r="D5" s="40" t="n">
        <x:v>4000</x:v>
      </x:c>
      <x:c r="E5" s="40" t="n">
        <x:v>90</x:v>
      </x:c>
      <x:c r="F5" s="22" t="n">
        <x:v>2</x:v>
      </x:c>
      <x:c r="G5" s="22" t="n">
        <x:v>1</x:v>
      </x:c>
      <x:c r="H5" s="39" t="n">
        <x:v>0.1</x:v>
      </x:c>
      <x:c r="I5" s="39" t="n">
        <x:v>0.02</x:v>
      </x:c>
      <x:c r="J5" s="39" t="n">
        <x:v>0</x:v>
      </x:c>
      <x:c r="K5" s="39" t="n">
        <x:v>0.05</x:v>
      </x:c>
      <x:c r="L5" s="39" t="n">
        <x:v>0</x:v>
      </x:c>
      <x:c r="M5" s="39" t="n">
        <x:v>0</x:v>
      </x:c>
      <x:c r="N5" s="22" t="str">
        <x:v>Removes large debris; not a safety barrier</x:v>
      </x:c>
      <x:c r="O5" s="22" t="str">
        <x:v>Tutorial</x:v>
      </x:c>
      <x:c r="P5" s="22" t="str">
        <x:v>Balance abstraction</x:v>
      </x:c>
    </x:row>
    <x:row r="6">
      <x:c r="A6" s="29" t="str">
        <x:v>TRT_COAG</x:v>
      </x:c>
      <x:c r="B6" s="29" t="str">
        <x:v>Coagulation and sedimentation</x:v>
      </x:c>
      <x:c r="C6" s="29" t="n">
        <x:v>150</x:v>
      </x:c>
      <x:c r="D6" s="41" t="n">
        <x:v>16000</x:v>
      </x:c>
      <x:c r="E6" s="41" t="n">
        <x:v>430</x:v>
      </x:c>
      <x:c r="F6" s="29" t="n">
        <x:v>7</x:v>
      </x:c>
      <x:c r="G6" s="29" t="n">
        <x:v>3</x:v>
      </x:c>
      <x:c r="H6" s="30" t="n">
        <x:v>0.55</x:v>
      </x:c>
      <x:c r="I6" s="30" t="n">
        <x:v>0.2</x:v>
      </x:c>
      <x:c r="J6" s="30" t="n">
        <x:v>0.1</x:v>
      </x:c>
      <x:c r="K6" s="30" t="n">
        <x:v>0.15</x:v>
      </x:c>
      <x:c r="L6" s="30" t="n">
        <x:v>0.08</x:v>
      </x:c>
      <x:c r="M6" s="30" t="n">
        <x:v>0</x:v>
      </x:c>
      <x:c r="N6" s="29" t="str">
        <x:v>Produces sludge; needs chemical supply</x:v>
      </x:c>
      <x:c r="O6" s="29" t="str">
        <x:v>Tutorial</x:v>
      </x:c>
      <x:c r="P6" s="29" t="str">
        <x:v>Balance abstraction informed by WHO process roles</x:v>
      </x:c>
    </x:row>
    <x:row r="7">
      <x:c r="A7" s="29" t="str">
        <x:v>TRT_MEDIA</x:v>
      </x:c>
      <x:c r="B7" s="29" t="str">
        <x:v>Media filtration</x:v>
      </x:c>
      <x:c r="C7" s="29" t="n">
        <x:v>140</x:v>
      </x:c>
      <x:c r="D7" s="41" t="n">
        <x:v>18000</x:v>
      </x:c>
      <x:c r="E7" s="41" t="n">
        <x:v>520</x:v>
      </x:c>
      <x:c r="F7" s="29" t="n">
        <x:v>8</x:v>
      </x:c>
      <x:c r="G7" s="29" t="n">
        <x:v>3</x:v>
      </x:c>
      <x:c r="H7" s="30" t="n">
        <x:v>0.7</x:v>
      </x:c>
      <x:c r="I7" s="30" t="n">
        <x:v>0.4</x:v>
      </x:c>
      <x:c r="J7" s="30" t="n">
        <x:v>0.05</x:v>
      </x:c>
      <x:c r="K7" s="30" t="n">
        <x:v>0.15</x:v>
      </x:c>
      <x:c r="L7" s="30" t="n">
        <x:v>0.05</x:v>
      </x:c>
      <x:c r="M7" s="30" t="n">
        <x:v>0</x:v>
      </x:c>
      <x:c r="N7" s="29" t="str">
        <x:v>Needs backwashing and upstream control</x:v>
      </x:c>
      <x:c r="O7" s="29" t="str">
        <x:v>Tutorial</x:v>
      </x:c>
      <x:c r="P7" s="29" t="str">
        <x:v>Balance abstraction informed by WHO process roles</x:v>
      </x:c>
    </x:row>
    <x:row r="8">
      <x:c r="A8" s="29" t="str">
        <x:v>TRT_DISINFECT</x:v>
      </x:c>
      <x:c r="B8" s="29" t="str">
        <x:v>Disinfection</x:v>
      </x:c>
      <x:c r="C8" s="29" t="n">
        <x:v>170</x:v>
      </x:c>
      <x:c r="D8" s="41" t="n">
        <x:v>9000</x:v>
      </x:c>
      <x:c r="E8" s="41" t="n">
        <x:v>310</x:v>
      </x:c>
      <x:c r="F8" s="29" t="n">
        <x:v>5</x:v>
      </x:c>
      <x:c r="G8" s="29" t="n">
        <x:v>2</x:v>
      </x:c>
      <x:c r="H8" s="30" t="n">
        <x:v>0</x:v>
      </x:c>
      <x:c r="I8" s="30" t="n">
        <x:v>0.95</x:v>
      </x:c>
      <x:c r="J8" s="30" t="n">
        <x:v>0</x:v>
      </x:c>
      <x:c r="K8" s="30" t="n">
        <x:v>0</x:v>
      </x:c>
      <x:c r="L8" s="30" t="n">
        <x:v>0</x:v>
      </x:c>
      <x:c r="M8" s="30" t="n">
        <x:v>0</x:v>
      </x:c>
      <x:c r="N8" s="29" t="str">
        <x:v>Performance penalty under high game turbidity</x:v>
      </x:c>
      <x:c r="O8" s="29" t="str">
        <x:v>Tutorial</x:v>
      </x:c>
      <x:c r="P8" s="29" t="str">
        <x:v>Balance abstraction informed by WHO process roles</x:v>
      </x:c>
    </x:row>
    <x:row r="9">
      <x:c r="A9" s="29" t="str">
        <x:v>TRT_CARBON</x:v>
      </x:c>
      <x:c r="B9" s="29" t="str">
        <x:v>Activated carbon</x:v>
      </x:c>
      <x:c r="C9" s="29" t="n">
        <x:v>110</x:v>
      </x:c>
      <x:c r="D9" s="41" t="n">
        <x:v>26000</x:v>
      </x:c>
      <x:c r="E9" s="41" t="n">
        <x:v>880</x:v>
      </x:c>
      <x:c r="F9" s="29" t="n">
        <x:v>12</x:v>
      </x:c>
      <x:c r="G9" s="29" t="n">
        <x:v>4</x:v>
      </x:c>
      <x:c r="H9" s="30" t="n">
        <x:v>0.05</x:v>
      </x:c>
      <x:c r="I9" s="30" t="n">
        <x:v>0</x:v>
      </x:c>
      <x:c r="J9" s="30" t="n">
        <x:v>0.1</x:v>
      </x:c>
      <x:c r="K9" s="30" t="n">
        <x:v>0.7</x:v>
      </x:c>
      <x:c r="L9" s="30" t="n">
        <x:v>0.45</x:v>
      </x:c>
      <x:c r="M9" s="30" t="n">
        <x:v>0</x:v>
      </x:c>
      <x:c r="N9" s="29" t="str">
        <x:v>Media replacement; does not address all chemicals</x:v>
      </x:c>
      <x:c r="O9" s="29" t="str">
        <x:v>Early</x:v>
      </x:c>
      <x:c r="P9" s="29" t="str">
        <x:v>Balance abstraction informed by WHO process roles</x:v>
      </x:c>
    </x:row>
    <x:row r="10">
      <x:c r="A10" s="29" t="str">
        <x:v>TRT_MEMBRANE</x:v>
      </x:c>
      <x:c r="B10" s="29" t="str">
        <x:v>Membrane filtration</x:v>
      </x:c>
      <x:c r="C10" s="29" t="n">
        <x:v>90</x:v>
      </x:c>
      <x:c r="D10" s="41" t="n">
        <x:v>48000</x:v>
      </x:c>
      <x:c r="E10" s="41" t="n">
        <x:v>1500</x:v>
      </x:c>
      <x:c r="F10" s="29" t="n">
        <x:v>24</x:v>
      </x:c>
      <x:c r="G10" s="29" t="n">
        <x:v>6</x:v>
      </x:c>
      <x:c r="H10" s="30" t="n">
        <x:v>0.9</x:v>
      </x:c>
      <x:c r="I10" s="30" t="n">
        <x:v>0.95</x:v>
      </x:c>
      <x:c r="J10" s="30" t="n">
        <x:v>0.3</x:v>
      </x:c>
      <x:c r="K10" s="30" t="n">
        <x:v>0.4</x:v>
      </x:c>
      <x:c r="L10" s="30" t="n">
        <x:v>0.35</x:v>
      </x:c>
      <x:c r="M10" s="30" t="n">
        <x:v>0.25</x:v>
      </x:c>
      <x:c r="N10" s="29" t="str">
        <x:v>Fouling and concentrate; high energy</x:v>
      </x:c>
      <x:c r="O10" s="29" t="str">
        <x:v>Mid</x:v>
      </x:c>
      <x:c r="P10" s="29" t="str">
        <x:v>Balance abstraction informed by WHO process roles</x:v>
      </x:c>
    </x:row>
    <x:row r="11">
      <x:c r="A11" s="29" t="str">
        <x:v>TRT_RO</x:v>
      </x:c>
      <x:c r="B11" s="29" t="str">
        <x:v>Reverse osmosis</x:v>
      </x:c>
      <x:c r="C11" s="29" t="n">
        <x:v>65</x:v>
      </x:c>
      <x:c r="D11" s="41" t="n">
        <x:v>76000</x:v>
      </x:c>
      <x:c r="E11" s="41" t="n">
        <x:v>2700</x:v>
      </x:c>
      <x:c r="F11" s="29" t="n">
        <x:v>45</x:v>
      </x:c>
      <x:c r="G11" s="29" t="n">
        <x:v>8</x:v>
      </x:c>
      <x:c r="H11" s="30" t="n">
        <x:v>0.9</x:v>
      </x:c>
      <x:c r="I11" s="30" t="n">
        <x:v>0.99</x:v>
      </x:c>
      <x:c r="J11" s="30" t="n">
        <x:v>0.8</x:v>
      </x:c>
      <x:c r="K11" s="30" t="n">
        <x:v>0.65</x:v>
      </x:c>
      <x:c r="L11" s="30" t="n">
        <x:v>0.8</x:v>
      </x:c>
      <x:c r="M11" s="30" t="n">
        <x:v>0.95</x:v>
      </x:c>
      <x:c r="N11" s="29" t="str">
        <x:v>High energy and concentrate waste stream</x:v>
      </x:c>
      <x:c r="O11" s="29" t="str">
        <x:v>Late</x:v>
      </x:c>
      <x:c r="P11" s="29" t="str">
        <x:v>Balance abstraction informed by WHO process roles</x:v>
      </x:c>
    </x:row>
    <x:row r="12">
      <x:c r="A12" s="29" t="str">
        <x:v>TRT_ION</x:v>
      </x:c>
      <x:c r="B12" s="29" t="str">
        <x:v>Ion exchange</x:v>
      </x:c>
      <x:c r="C12" s="29" t="n">
        <x:v>75</x:v>
      </x:c>
      <x:c r="D12" s="41" t="n">
        <x:v>42000</x:v>
      </x:c>
      <x:c r="E12" s="41" t="n">
        <x:v>1250</x:v>
      </x:c>
      <x:c r="F12" s="29" t="n">
        <x:v>16</x:v>
      </x:c>
      <x:c r="G12" s="29" t="n">
        <x:v>5</x:v>
      </x:c>
      <x:c r="H12" s="30" t="n">
        <x:v>0</x:v>
      </x:c>
      <x:c r="I12" s="30" t="n">
        <x:v>0</x:v>
      </x:c>
      <x:c r="J12" s="30" t="n">
        <x:v>0.6</x:v>
      </x:c>
      <x:c r="K12" s="30" t="n">
        <x:v>0</x:v>
      </x:c>
      <x:c r="L12" s="30" t="n">
        <x:v>0.45</x:v>
      </x:c>
      <x:c r="M12" s="30" t="n">
        <x:v>0.75</x:v>
      </x:c>
      <x:c r="N12" s="29" t="str">
        <x:v>Regeneration waste; contaminant-specific</x:v>
      </x:c>
      <x:c r="O12" s="29" t="str">
        <x:v>Late</x:v>
      </x:c>
      <x:c r="P12" s="29" t="str">
        <x:v>Balance abstraction informed by WHO process roles</x:v>
      </x:c>
    </x:row>
    <x:row r="13">
      <x:c r="A13" s="29" t="str">
        <x:v>TRT_WW_BIO</x:v>
      </x:c>
      <x:c r="B13" s="29" t="str">
        <x:v>Wastewater biological treatment</x:v>
      </x:c>
      <x:c r="C13" s="29" t="n">
        <x:v>120</x:v>
      </x:c>
      <x:c r="D13" s="41" t="n">
        <x:v>36000</x:v>
      </x:c>
      <x:c r="E13" s="41" t="n">
        <x:v>1300</x:v>
      </x:c>
      <x:c r="F13" s="29" t="n">
        <x:v>18</x:v>
      </x:c>
      <x:c r="G13" s="29" t="n">
        <x:v>6</x:v>
      </x:c>
      <x:c r="H13" s="30" t="n">
        <x:v>0.2</x:v>
      </x:c>
      <x:c r="I13" s="30" t="n">
        <x:v>0.55</x:v>
      </x:c>
      <x:c r="J13" s="30" t="n">
        <x:v>0.45</x:v>
      </x:c>
      <x:c r="K13" s="30" t="n">
        <x:v>0.75</x:v>
      </x:c>
      <x:c r="L13" s="30" t="n">
        <x:v>0.1</x:v>
      </x:c>
      <x:c r="M13" s="30" t="n">
        <x:v>0</x:v>
      </x:c>
      <x:c r="N13" s="29" t="str">
        <x:v>Requires stable operation and downstream polishing</x:v>
      </x:c>
      <x:c r="O13" s="29" t="str">
        <x:v>Early</x:v>
      </x:c>
      <x:c r="P13" s="29" t="str">
        <x:v>Balance abstraction informed by treatment principles</x:v>
      </x:c>
    </x:row>
    <x:row r="14">
      <x:c r="A14" s="29" t="str">
        <x:v>TRT_WETLAND</x:v>
      </x:c>
      <x:c r="B14" s="29" t="str">
        <x:v>Constructed wetland / polishing</x:v>
      </x:c>
      <x:c r="C14" s="29" t="n">
        <x:v>70</x:v>
      </x:c>
      <x:c r="D14" s="41" t="n">
        <x:v>22000</x:v>
      </x:c>
      <x:c r="E14" s="41" t="n">
        <x:v>260</x:v>
      </x:c>
      <x:c r="F14" s="29" t="n">
        <x:v>2</x:v>
      </x:c>
      <x:c r="G14" s="29" t="n">
        <x:v>7</x:v>
      </x:c>
      <x:c r="H14" s="30" t="n">
        <x:v>0.3</x:v>
      </x:c>
      <x:c r="I14" s="30" t="n">
        <x:v>0.35</x:v>
      </x:c>
      <x:c r="J14" s="30" t="n">
        <x:v>0.45</x:v>
      </x:c>
      <x:c r="K14" s="30" t="n">
        <x:v>0.55</x:v>
      </x:c>
      <x:c r="L14" s="30" t="n">
        <x:v>0.15</x:v>
      </x:c>
      <x:c r="M14" s="30" t="n">
        <x:v>0</x:v>
      </x:c>
      <x:c r="N14" s="29" t="str">
        <x:v>Needs land and variable residence time</x:v>
      </x:c>
      <x:c r="O14" s="29" t="str">
        <x:v>Mid</x:v>
      </x:c>
      <x:c r="P14" s="29" t="str">
        <x:v>Balance abstraction informed by source protection principles</x:v>
      </x:c>
    </x:row>
    <x:row r="17" ht="40" customHeight="1">
      <x:c r="A17" s="25" t="str">
        <x:v>Use rule</x:v>
      </x:c>
      <x:c r="B17" s="28" t="str">
        <x:v>Sequential stages multiply remaining load: outgoing load = incoming load × (1 − effective removal). Never add removal percentages. All coefficients must remain editable and versioned.</x:v>
      </x:c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7"/>
    </x:row>
  </x:sheetData>
  <x:mergeCells>
    <x:mergeCell ref="B17:P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5600004196167" hidden="0" customWidth="1"/>
    <x:col min="2" max="2" width="11.670000076293945" hidden="0" customWidth="1"/>
    <x:col min="3" max="3" width="14.4399995803833" hidden="0" customWidth="1"/>
    <x:col min="4" max="4" width="23.329999923706055" hidden="0" customWidth="1"/>
    <x:col min="5" max="5" width="31.670000076293945" hidden="0" customWidth="1"/>
    <x:col min="6" max="6" width="16.670000076293945" hidden="0" customWidth="1"/>
    <x:col min="7" max="7" width="23.329999923706055" hidden="0" customWidth="1"/>
    <x:col min="8" max="8" width="9.4399995803833" hidden="0" customWidth="1"/>
    <x:col min="9" max="9" width="25.559999465942383" hidden="0" customWidth="1"/>
  </x:cols>
  <x:sheetData>
    <x:row r="2" ht="25" customHeight="1">
      <x:c r="A2" s="2" t="str">
        <x:v>Implementation rule register</x:v>
      </x:c>
      <x:c r="B2" s="1"/>
      <x:c r="C2" s="1"/>
      <x:c r="D2" s="1"/>
      <x:c r="E2" s="1"/>
      <x:c r="F2" s="1"/>
      <x:c r="G2" s="1"/>
      <x:c r="H2" s="1"/>
      <x:c r="I2" s="1"/>
    </x:row>
    <x:row r="4" ht="31" customHeight="1">
      <x:c r="A4" s="14" t="str">
        <x:v>Rule ID</x:v>
      </x:c>
      <x:c r="B4" s="15" t="str">
        <x:v>System</x:v>
      </x:c>
      <x:c r="C4" s="15" t="str">
        <x:v>Trigger</x:v>
      </x:c>
      <x:c r="D4" s="15" t="str">
        <x:v>Inputs</x:v>
      </x:c>
      <x:c r="E4" s="15" t="str">
        <x:v>Calculation / rule</x:v>
      </x:c>
      <x:c r="F4" s="15" t="str">
        <x:v>Outputs</x:v>
      </x:c>
      <x:c r="G4" s="15" t="str">
        <x:v>Provenance class</x:v>
      </x:c>
      <x:c r="H4" s="15" t="str">
        <x:v>Balance version</x:v>
      </x:c>
      <x:c r="I4" s="16" t="str">
        <x:v>Acceptance test</x:v>
      </x:c>
    </x:row>
    <x:row r="5">
      <x:c r="A5" s="20" t="str">
        <x:v>R_QTY_001</x:v>
      </x:c>
      <x:c r="B5" s="20" t="str">
        <x:v>Demand</x:v>
      </x:c>
      <x:c r="C5" s="20" t="str">
        <x:v>Start of day</x:v>
      </x:c>
      <x:c r="D5" s="20" t="str">
        <x:v>Buildings, occupancy, activity, conservation</x:v>
      </x:c>
      <x:c r="E5" s="20" t="str">
        <x:v>Sum base demand × occupancy × activity × conservation multiplier</x:v>
      </x:c>
      <x:c r="F5" s="20" t="str">
        <x:v>Gross demand</x:v>
      </x:c>
      <x:c r="G5" s="20" t="str">
        <x:v>Game abstraction</x:v>
      </x:c>
      <x:c r="H5" s="20" t="str">
        <x:v>v1.0</x:v>
      </x:c>
      <x:c r="I5" s="20" t="str">
        <x:v>Adding a home raises demand</x:v>
      </x:c>
    </x:row>
    <x:row r="6">
      <x:c r="A6" s="21" t="str">
        <x:v>R_QTY_002</x:v>
      </x:c>
      <x:c r="B6" s="21" t="str">
        <x:v>Distribution</x:v>
      </x:c>
      <x:c r="C6" s="21" t="str">
        <x:v>Water release</x:v>
      </x:c>
      <x:c r="D6" s="21" t="str">
        <x:v>Available water, distribution capacity, loss rate</x:v>
      </x:c>
      <x:c r="E6" s="21" t="str">
        <x:v>min(available, release, capacity) × (1 − loss rate)</x:v>
      </x:c>
      <x:c r="F6" s="21" t="str">
        <x:v>Delivered water</x:v>
      </x:c>
      <x:c r="G6" s="21" t="str">
        <x:v>Scientific relationship + balance values</x:v>
      </x:c>
      <x:c r="H6" s="21" t="str">
        <x:v>v1.0</x:v>
      </x:c>
      <x:c r="I6" s="21" t="str">
        <x:v>Leak repair increases delivery without new intake</x:v>
      </x:c>
    </x:row>
    <x:row r="7">
      <x:c r="A7" s="21" t="str">
        <x:v>R_WQ_001</x:v>
      </x:c>
      <x:c r="B7" s="21" t="str">
        <x:v>Runoff</x:v>
      </x:c>
      <x:c r="C7" s="21" t="str">
        <x:v>Rain/runoff event</x:v>
      </x:c>
      <x:c r="D7" s="21" t="str">
        <x:v>Tile load, runoff, proximity, protection</x:v>
      </x:c>
      <x:c r="E7" s="21" t="str">
        <x:v>Clamp(source + Σ contribution − protection, 0, 100)</x:v>
      </x:c>
      <x:c r="F7" s="21" t="str">
        <x:v>Source contaminant loads</x:v>
      </x:c>
      <x:c r="G7" s="21" t="str">
        <x:v>Scientific relationship + balance values</x:v>
      </x:c>
      <x:c r="H7" s="21" t="str">
        <x:v>v1.0</x:v>
      </x:c>
      <x:c r="I7" s="21" t="str">
        <x:v>Storm raises river turbidity near construction</x:v>
      </x:c>
    </x:row>
    <x:row r="8">
      <x:c r="A8" s="21" t="str">
        <x:v>R_WQ_002</x:v>
      </x:c>
      <x:c r="B8" s="21" t="str">
        <x:v>Treatment</x:v>
      </x:c>
      <x:c r="C8" s="21" t="str">
        <x:v>Water enters a stage</x:v>
      </x:c>
      <x:c r="D8" s="21" t="str">
        <x:v>Incoming load, base removal, condition, power, overload, compatibility</x:v>
      </x:c>
      <x:c r="E8" s="21" t="str">
        <x:v>Outgoing = incoming × (1 − effective removal)</x:v>
      </x:c>
      <x:c r="F8" s="21" t="str">
        <x:v>Stage outlet load</x:v>
      </x:c>
      <x:c r="G8" s="21" t="str">
        <x:v>Scientific relationship + balance values</x:v>
      </x:c>
      <x:c r="H8" s="21" t="str">
        <x:v>v1.0</x:v>
      </x:c>
      <x:c r="I8" s="21" t="str">
        <x:v>Filtration lowers turbidity but not all chemicals</x:v>
      </x:c>
    </x:row>
    <x:row r="9">
      <x:c r="A9" s="21" t="str">
        <x:v>R_WQ_003</x:v>
      </x:c>
      <x:c r="B9" s="21" t="str">
        <x:v>Disinfection</x:v>
      </x:c>
      <x:c r="C9" s="21" t="str">
        <x:v>High turbidity before disinfection</x:v>
      </x:c>
      <x:c r="D9" s="21" t="str">
        <x:v>Turbidity, microbial removal</x:v>
      </x:c>
      <x:c r="E9" s="21" t="str">
        <x:v>Apply compatibility penalty when turbidity &gt; 40 game units</x:v>
      </x:c>
      <x:c r="F9" s="21" t="str">
        <x:v>Microbial outlet load</x:v>
      </x:c>
      <x:c r="G9" s="21" t="str">
        <x:v>Scientific relationship simplified</x:v>
      </x:c>
      <x:c r="H9" s="21" t="str">
        <x:v>v1.0</x:v>
      </x:c>
      <x:c r="I9" s="21" t="str">
        <x:v>Dirty upstream water reduces game disinfection performance</x:v>
      </x:c>
    </x:row>
    <x:row r="10">
      <x:c r="A10" s="21" t="str">
        <x:v>R_WQ_004</x:v>
      </x:c>
      <x:c r="B10" s="21" t="str">
        <x:v>Distribution</x:v>
      </x:c>
      <x:c r="C10" s="21" t="str">
        <x:v>Low pressure or damaged pipe</x:v>
      </x:c>
      <x:c r="D10" s="21" t="str">
        <x:v>Plant outlet, pressure, pipe condition, storage condition</x:v>
      </x:c>
      <x:c r="E10" s="21" t="str">
        <x:v>Add intrusion and storage penalties</x:v>
      </x:c>
      <x:c r="F10" s="21" t="str">
        <x:v>Tap load</x:v>
      </x:c>
      <x:c r="G10" s="21" t="str">
        <x:v>Scientific relationship + balance values</x:v>
      </x:c>
      <x:c r="H10" s="21" t="str">
        <x:v>v1.0</x:v>
      </x:c>
      <x:c r="I10" s="21" t="str">
        <x:v>Plant-safe water can worsen at tap</x:v>
      </x:c>
    </x:row>
    <x:row r="11">
      <x:c r="A11" s="21" t="str">
        <x:v>R_CAP_001</x:v>
      </x:c>
      <x:c r="B11" s="21" t="str">
        <x:v>Capacity</x:v>
      </x:c>
      <x:c r="C11" s="21" t="str">
        <x:v>Daily treatment</x:v>
      </x:c>
      <x:c r="D11" s="21" t="str">
        <x:v>Rated capacity, condition, power, staffing</x:v>
      </x:c>
      <x:c r="E11" s="21" t="str">
        <x:v>rated × condition factor × power × staffing</x:v>
      </x:c>
      <x:c r="F11" s="21" t="str">
        <x:v>Effective capacity</x:v>
      </x:c>
      <x:c r="G11" s="21" t="str">
        <x:v>Game abstraction</x:v>
      </x:c>
      <x:c r="H11" s="21" t="str">
        <x:v>v1.0</x:v>
      </x:c>
      <x:c r="I11" s="21" t="str">
        <x:v>Poor condition lowers throughput</x:v>
      </x:c>
    </x:row>
    <x:row r="12">
      <x:c r="A12" s="21" t="str">
        <x:v>R_MNT_001</x:v>
      </x:c>
      <x:c r="B12" s="21" t="str">
        <x:v>Maintenance</x:v>
      </x:c>
      <x:c r="C12" s="21" t="str">
        <x:v>End of day</x:v>
      </x:c>
      <x:c r="D12" s="21" t="str">
        <x:v>Base decay, utilization, environment</x:v>
      </x:c>
      <x:c r="E12" s="21" t="str">
        <x:v>Condition − daily decay; maintenance restores condition</x:v>
      </x:c>
      <x:c r="F12" s="21" t="str">
        <x:v>Asset condition</x:v>
      </x:c>
      <x:c r="G12" s="21" t="str">
        <x:v>Scientific relationship + balance values</x:v>
      </x:c>
      <x:c r="H12" s="21" t="str">
        <x:v>v1.0</x:v>
      </x:c>
      <x:c r="I12" s="21" t="str">
        <x:v>Overloaded asset degrades faster</x:v>
      </x:c>
    </x:row>
    <x:row r="13">
      <x:c r="A13" s="21" t="str">
        <x:v>R_WW_001</x:v>
      </x:c>
      <x:c r="B13" s="21" t="str">
        <x:v>Wastewater</x:v>
      </x:c>
      <x:c r="C13" s="21" t="str">
        <x:v>Indoor water use</x:v>
      </x:c>
      <x:c r="D13" s="21" t="str">
        <x:v>Delivered indoor water, return-flow ratio</x:v>
      </x:c>
      <x:c r="E13" s="21" t="str">
        <x:v>Delivered indoor water × return-flow ratio</x:v>
      </x:c>
      <x:c r="F13" s="21" t="str">
        <x:v>Wastewater generated</x:v>
      </x:c>
      <x:c r="G13" s="21" t="str">
        <x:v>Game abstraction</x:v>
      </x:c>
      <x:c r="H13" s="21" t="str">
        <x:v>v1.0</x:v>
      </x:c>
      <x:c r="I13" s="21" t="str">
        <x:v>More indoor use creates more wastewater</x:v>
      </x:c>
    </x:row>
    <x:row r="14">
      <x:c r="A14" s="21" t="str">
        <x:v>R_REUSE_001</x:v>
      </x:c>
      <x:c r="B14" s="21" t="str">
        <x:v>Reuse</x:v>
      </x:c>
      <x:c r="C14" s="21" t="str">
        <x:v>Reclaimed water available</x:v>
      </x:c>
      <x:c r="D14" s="21" t="str">
        <x:v>Reuse supply, eligible demand</x:v>
      </x:c>
      <x:c r="E14" s="21" t="str">
        <x:v>min(reuse water, eligible non-potable demand)</x:v>
      </x:c>
      <x:c r="F14" s="21" t="str">
        <x:v>Freshwater offset</x:v>
      </x:c>
      <x:c r="G14" s="21" t="str">
        <x:v>Scientific relationship simplified</x:v>
      </x:c>
      <x:c r="H14" s="21" t="str">
        <x:v>v1.0</x:v>
      </x:c>
      <x:c r="I14" s="21" t="str">
        <x:v>Reuse never enters potable network automatically</x:v>
      </x:c>
    </x:row>
    <x:row r="15">
      <x:c r="A15" s="21" t="str">
        <x:v>R_SCORE_001</x:v>
      </x:c>
      <x:c r="B15" s="21" t="str">
        <x:v>Quality</x:v>
      </x:c>
      <x:c r="C15" s="21" t="str">
        <x:v>End of day</x:v>
      </x:c>
      <x:c r="D15" s="21" t="str">
        <x:v>Six hazard loads, pH, distribution</x:v>
      </x:c>
      <x:c r="E15" s="21" t="str">
        <x:v>100 − weighted hazard − penalties with critical cap</x:v>
      </x:c>
      <x:c r="F15" s="21" t="str">
        <x:v>Quality score</x:v>
      </x:c>
      <x:c r="G15" s="21" t="str">
        <x:v>Game abstraction grounded in risk concepts</x:v>
      </x:c>
      <x:c r="H15" s="21" t="str">
        <x:v>v1.0</x:v>
      </x:c>
      <x:c r="I15" s="21" t="str">
        <x:v>Severe microbial risk prevents safe score</x:v>
      </x:c>
    </x:row>
    <x:row r="16">
      <x:c r="A16" s="21" t="str">
        <x:v>R_SCORE_002</x:v>
      </x:c>
      <x:c r="B16" s="21" t="str">
        <x:v>Water Security</x:v>
      </x:c>
      <x:c r="C16" s="21" t="str">
        <x:v>End of day</x:v>
      </x:c>
      <x:c r="D16" s="21" t="str">
        <x:v>Quality, availability, reliability, access, resilience</x:v>
      </x:c>
      <x:c r="E16" s="21" t="str">
        <x:v>Weighted score with critical gates</x:v>
      </x:c>
      <x:c r="F16" s="21" t="str">
        <x:v>Water Security</x:v>
      </x:c>
      <x:c r="G16" s="21" t="str">
        <x:v>Game scoring assumption</x:v>
      </x:c>
      <x:c r="H16" s="21" t="str">
        <x:v>v1.0</x:v>
      </x:c>
      <x:c r="I16" s="21" t="str">
        <x:v>High supply cannot hide unsafe quality</x:v>
      </x:c>
    </x:row>
    <x:row r="17">
      <x:c r="A17" s="21" t="str">
        <x:v>R_SOC_001</x:v>
      </x:c>
      <x:c r="B17" s="21" t="str">
        <x:v>Reclaimed time</x:v>
      </x:c>
      <x:c r="C17" s="21" t="str">
        <x:v>Access improves</x:v>
      </x:c>
      <x:c r="D17" s="21" t="str">
        <x:v>Baseline and current collection time</x:v>
      </x:c>
      <x:c r="E17" s="21" t="str">
        <x:v>baseline − current hours</x:v>
      </x:c>
      <x:c r="F17" s="21" t="str">
        <x:v>Reclaimed hours</x:v>
      </x:c>
      <x:c r="G17" s="21" t="str">
        <x:v>Scientific relationship simplified</x:v>
      </x:c>
      <x:c r="H17" s="21" t="str">
        <x:v>v1.0</x:v>
      </x:c>
      <x:c r="I17" s="21" t="str">
        <x:v>New connection visibly changes schedule</x:v>
      </x:c>
    </x:row>
    <x:row r="18">
      <x:c r="A18" s="21" t="str">
        <x:v>R_RNG_001</x:v>
      </x:c>
      <x:c r="B18" s="21" t="str">
        <x:v>Events</x:v>
      </x:c>
      <x:c r="C18" s="21" t="str">
        <x:v>Scenario start and each day</x:v>
      </x:c>
      <x:c r="D18" s="21" t="str">
        <x:v>Seed, day, eligible events</x:v>
      </x:c>
      <x:c r="E18" s="21" t="str">
        <x:v>Seeded random selection</x:v>
      </x:c>
      <x:c r="F18" s="21" t="str">
        <x:v>Reproducible event</x:v>
      </x:c>
      <x:c r="G18" s="21" t="str">
        <x:v>Game-system requirement</x:v>
      </x:c>
      <x:c r="H18" s="21" t="str">
        <x:v>v1.0</x:v>
      </x:c>
      <x:c r="I18" s="21" t="str">
        <x:v>Same seed and actions reproduce result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5600004196167" hidden="0" customWidth="1"/>
    <x:col min="2" max="2" width="16.110000610351562" hidden="0" customWidth="1"/>
    <x:col min="3" max="3" width="12.779999732971191" hidden="0" customWidth="1"/>
    <x:col min="4" max="4" width="15" hidden="0" customWidth="1"/>
    <x:col min="5" max="5" width="18.889999389648438" hidden="0" customWidth="1"/>
    <x:col min="6" max="6" width="17.219999313354492" hidden="0" customWidth="1"/>
    <x:col min="7" max="7" width="17.219999313354492" hidden="0" customWidth="1"/>
    <x:col min="8" max="8" width="17.219999313354492" hidden="0" customWidth="1"/>
    <x:col min="9" max="9" width="27.780000686645508" hidden="0" customWidth="1"/>
  </x:cols>
  <x:sheetData>
    <x:row r="2" ht="25" customHeight="1">
      <x:c r="A2" s="2" t="str">
        <x:v>Decision events</x:v>
      </x:c>
      <x:c r="B2" s="1"/>
      <x:c r="C2" s="1"/>
      <x:c r="D2" s="1"/>
      <x:c r="E2" s="1"/>
      <x:c r="F2" s="1"/>
      <x:c r="G2" s="1"/>
      <x:c r="H2" s="1"/>
      <x:c r="I2" s="1"/>
    </x:row>
    <x:row r="4" ht="31" customHeight="1">
      <x:c r="A4" s="14" t="str">
        <x:v>Event ID</x:v>
      </x:c>
      <x:c r="B4" s="15" t="str">
        <x:v>Event</x:v>
      </x:c>
      <x:c r="C4" s="15" t="str">
        <x:v>Trigger / timing</x:v>
      </x:c>
      <x:c r="D4" s="15" t="str">
        <x:v>Quantity effect</x:v>
      </x:c>
      <x:c r="E4" s="15" t="str">
        <x:v>Quality effect</x:v>
      </x:c>
      <x:c r="F4" s="15" t="str">
        <x:v>Decision A</x:v>
      </x:c>
      <x:c r="G4" s="15" t="str">
        <x:v>Decision B</x:v>
      </x:c>
      <x:c r="H4" s="15" t="str">
        <x:v>Decision C</x:v>
      </x:c>
      <x:c r="I4" s="16" t="str">
        <x:v>Lesson</x:v>
      </x:c>
    </x:row>
    <x:row r="5">
      <x:c r="A5" s="20" t="str">
        <x:v>EV_RAIN</x:v>
      </x:c>
      <x:c r="B5" s="20" t="str">
        <x:v>Heavy rain</x:v>
      </x:c>
      <x:c r="C5" s="20" t="str">
        <x:v>Weather</x:v>
      </x:c>
      <x:c r="D5" s="20" t="str">
        <x:v>+18% source volume</x:v>
      </x:c>
      <x:c r="E5" s="20" t="str">
        <x:v>+25 turbidity; runoff loads rise</x:v>
      </x:c>
      <x:c r="F5" s="20" t="str">
        <x:v>Reduce intake</x:v>
      </x:c>
      <x:c r="G5" s="20" t="str">
        <x:v>Add treatment shift</x:v>
      </x:c>
      <x:c r="H5" s="20" t="str">
        <x:v>Use storage</x:v>
      </x:c>
      <x:c r="I5" s="20" t="str">
        <x:v>Rain can increase supply and treatment load</x:v>
      </x:c>
    </x:row>
    <x:row r="6">
      <x:c r="A6" s="21" t="str">
        <x:v>EV_DROUGHT</x:v>
      </x:c>
      <x:c r="B6" s="21" t="str">
        <x:v>Drought watch</x:v>
      </x:c>
      <x:c r="C6" s="21" t="str">
        <x:v>Low rainfall streak</x:v>
      </x:c>
      <x:c r="D6" s="21" t="str">
        <x:v>Recharge −35%</x:v>
      </x:c>
      <x:c r="E6" s="21" t="str">
        <x:v>Concentration risk +5</x:v>
      </x:c>
      <x:c r="F6" s="21" t="str">
        <x:v>Restrictions</x:v>
      </x:c>
      <x:c r="G6" s="21" t="str">
        <x:v>Conservation rebate</x:v>
      </x:c>
      <x:c r="H6" s="21" t="str">
        <x:v>Alternate source</x:v>
      </x:c>
      <x:c r="I6" s="21" t="str">
        <x:v>Demand management can replace expansion</x:v>
      </x:c>
    </x:row>
    <x:row r="7">
      <x:c r="A7" s="21" t="str">
        <x:v>EV_LEAK</x:v>
      </x:c>
      <x:c r="B7" s="21" t="str">
        <x:v>Pipe leak</x:v>
      </x:c>
      <x:c r="C7" s="21" t="str">
        <x:v>Aging network</x:v>
      </x:c>
      <x:c r="D7" s="21" t="str">
        <x:v>Loss +8 points</x:v>
      </x:c>
      <x:c r="E7" s="21" t="str">
        <x:v>Intrusion risk +4</x:v>
      </x:c>
      <x:c r="F7" s="21" t="str">
        <x:v>Repair now</x:v>
      </x:c>
      <x:c r="G7" s="21" t="str">
        <x:v>Isolate district</x:v>
      </x:c>
      <x:c r="H7" s="21" t="str">
        <x:v>Defer</x:v>
      </x:c>
      <x:c r="I7" s="21" t="str">
        <x:v>Maintenance affects quantity and quality</x:v>
      </x:c>
    </x:row>
    <x:row r="8">
      <x:c r="A8" s="21" t="str">
        <x:v>EV_POWER</x:v>
      </x:c>
      <x:c r="B8" s="21" t="str">
        <x:v>Power interruption</x:v>
      </x:c>
      <x:c r="C8" s="21" t="str">
        <x:v>Random / heat</x:v>
      </x:c>
      <x:c r="D8" s="21" t="str">
        <x:v>Capacity −30%</x:v>
      </x:c>
      <x:c r="E8" s="21" t="str">
        <x:v>Selected removal falls</x:v>
      </x:c>
      <x:c r="F8" s="21" t="str">
        <x:v>Use storage</x:v>
      </x:c>
      <x:c r="G8" s="21" t="str">
        <x:v>Backup power</x:v>
      </x:c>
      <x:c r="H8" s="21" t="str">
        <x:v>Reduce demand</x:v>
      </x:c>
      <x:c r="I8" s="21" t="str">
        <x:v>Resilience includes energy and storage</x:v>
      </x:c>
    </x:row>
    <x:row r="9">
      <x:c r="A9" s="21" t="str">
        <x:v>EV_FARM</x:v>
      </x:c>
      <x:c r="B9" s="21" t="str">
        <x:v>Planting season</x:v>
      </x:c>
      <x:c r="C9" s="21" t="str">
        <x:v>Seasonal</x:v>
      </x:c>
      <x:c r="D9" s="21" t="str">
        <x:v>Farm demand +20%</x:v>
      </x:c>
      <x:c r="E9" s="21" t="str">
        <x:v>Runoff risk if rain</x:v>
      </x:c>
      <x:c r="F9" s="21" t="str">
        <x:v>Allocate more</x:v>
      </x:c>
      <x:c r="G9" s="21" t="str">
        <x:v>Efficient irrigation</x:v>
      </x:c>
      <x:c r="H9" s="21" t="str">
        <x:v>Change crop plan</x:v>
      </x:c>
      <x:c r="I9" s="21" t="str">
        <x:v>Food and water goals interact</x:v>
      </x:c>
    </x:row>
    <x:row r="10">
      <x:c r="A10" s="21" t="str">
        <x:v>EV_RUNOFF</x:v>
      </x:c>
      <x:c r="B10" s="21" t="str">
        <x:v>Runoff warning</x:v>
      </x:c>
      <x:c r="C10" s="21" t="str">
        <x:v>Farm + forecast</x:v>
      </x:c>
      <x:c r="D10" s="21" t="str">
        <x:v>None immediate</x:v>
      </x:c>
      <x:c r="E10" s="21" t="str">
        <x:v>Nutrients +12</x:v>
      </x:c>
      <x:c r="F10" s="21" t="str">
        <x:v>Buffer strip</x:v>
      </x:c>
      <x:c r="G10" s="21" t="str">
        <x:v>Nutrient plan</x:v>
      </x:c>
      <x:c r="H10" s="21" t="str">
        <x:v>Treat downstream</x:v>
      </x:c>
      <x:c r="I10" s="21" t="str">
        <x:v>Prevention and treatment are alternatives</x:v>
      </x:c>
    </x:row>
    <x:row r="11">
      <x:c r="A11" s="21" t="str">
        <x:v>EV_PERMIT</x:v>
      </x:c>
      <x:c r="B11" s="21" t="str">
        <x:v>Industry permit</x:v>
      </x:c>
      <x:c r="C11" s="21" t="str">
        <x:v>Milestone</x:v>
      </x:c>
      <x:c r="D11" s="21" t="str">
        <x:v>Demand +28</x:v>
      </x:c>
      <x:c r="E11" s="21" t="str">
        <x:v>Chemical risk potential +14</x:v>
      </x:c>
      <x:c r="F11" s="21" t="str">
        <x:v>Approve</x:v>
      </x:c>
      <x:c r="G11" s="21" t="str">
        <x:v>Approve with pretreatment</x:v>
      </x:c>
      <x:c r="H11" s="21" t="str">
        <x:v>Decline</x:v>
      </x:c>
      <x:c r="I11" s="21" t="str">
        <x:v>Growth changes the water system</x:v>
      </x:c>
    </x:row>
    <x:row r="12">
      <x:c r="A12" s="21" t="str">
        <x:v>EV_SCHOOL</x:v>
      </x:c>
      <x:c r="B12" s="21" t="str">
        <x:v>School event</x:v>
      </x:c>
      <x:c r="C12" s="21" t="str">
        <x:v>Scheduled</x:v>
      </x:c>
      <x:c r="D12" s="21" t="str">
        <x:v>Demand +5</x:v>
      </x:c>
      <x:c r="E12" s="21" t="str">
        <x:v>None</x:v>
      </x:c>
      <x:c r="F12" s="21" t="str">
        <x:v>Fully serve</x:v>
      </x:c>
      <x:c r="G12" s="21" t="str">
        <x:v>Partial serve</x:v>
      </x:c>
      <x:c r="H12" s="21" t="str">
        <x:v>Reschedule</x:v>
      </x:c>
      <x:c r="I12" s="21" t="str">
        <x:v>Reliability supports community life</x:v>
      </x:c>
    </x:row>
    <x:row r="13">
      <x:c r="A13" s="21" t="str">
        <x:v>EV_CLINIC</x:v>
      </x:c>
      <x:c r="B13" s="21" t="str">
        <x:v>Clinic surge</x:v>
      </x:c>
      <x:c r="C13" s="21" t="str">
        <x:v>Health event</x:v>
      </x:c>
      <x:c r="D13" s="21" t="str">
        <x:v>Clinic demand +40%</x:v>
      </x:c>
      <x:c r="E13" s="21" t="str">
        <x:v>None</x:v>
      </x:c>
      <x:c r="F13" s="21" t="str">
        <x:v>Prioritize clinic</x:v>
      </x:c>
      <x:c r="G13" s="21" t="str">
        <x:v>Use emergency reserve</x:v>
      </x:c>
      <x:c r="H13" s="21" t="str">
        <x:v>Reallocate staff</x:v>
      </x:c>
      <x:c r="I13" s="21" t="str">
        <x:v>Allocation has human consequences</x:v>
      </x:c>
    </x:row>
    <x:row r="14">
      <x:c r="A14" s="21" t="str">
        <x:v>EV_MAINT</x:v>
      </x:c>
      <x:c r="B14" s="21" t="str">
        <x:v>Maintenance window</x:v>
      </x:c>
      <x:c r="C14" s="21" t="str">
        <x:v>Condition &lt;75</x:v>
      </x:c>
      <x:c r="D14" s="21" t="str">
        <x:v>Capacity −20% today</x:v>
      </x:c>
      <x:c r="E14" s="21" t="str">
        <x:v>Future reliability rises</x:v>
      </x:c>
      <x:c r="F14" s="21" t="str">
        <x:v>Maintain now</x:v>
      </x:c>
      <x:c r="G14" s="21" t="str">
        <x:v>Stage work</x:v>
      </x:c>
      <x:c r="H14" s="21" t="str">
        <x:v>Defer</x:v>
      </x:c>
      <x:c r="I14" s="21" t="str">
        <x:v>Planned downtime prevents failures</x:v>
      </x:c>
    </x:row>
    <x:row r="15">
      <x:c r="A15" s="21" t="str">
        <x:v>EV_WETLAND</x:v>
      </x:c>
      <x:c r="B15" s="21" t="str">
        <x:v>Wetland proposal</x:v>
      </x:c>
      <x:c r="C15" s="21" t="str">
        <x:v>Planning milestone</x:v>
      </x:c>
      <x:c r="D15" s="21" t="str">
        <x:v>Land −2 tiles</x:v>
      </x:c>
      <x:c r="E15" s="21" t="str">
        <x:v>Runoff and flood risk fall</x:v>
      </x:c>
      <x:c r="F15" s="21" t="str">
        <x:v>Restore</x:v>
      </x:c>
      <x:c r="G15" s="21" t="str">
        <x:v>Partial buffer</x:v>
      </x:c>
      <x:c r="H15" s="21" t="str">
        <x:v>Develop</x:v>
      </x:c>
      <x:c r="I15" s="21" t="str">
        <x:v>Source protection uses land</x:v>
      </x:c>
    </x:row>
    <x:row r="16">
      <x:c r="A16" s="21" t="str">
        <x:v>EV_GROWTH</x:v>
      </x:c>
      <x:c r="B16" s="21" t="str">
        <x:v>Population arrival</x:v>
      </x:c>
      <x:c r="C16" s="21" t="str">
        <x:v>Milestone</x:v>
      </x:c>
      <x:c r="D16" s="21" t="str">
        <x:v>Demand rises</x:v>
      </x:c>
      <x:c r="E16" s="21" t="str">
        <x:v>Wastewater rises</x:v>
      </x:c>
      <x:c r="F16" s="21" t="str">
        <x:v>Connect now</x:v>
      </x:c>
      <x:c r="G16" s="21" t="str">
        <x:v>Phase connection</x:v>
      </x:c>
      <x:c r="H16" s="21" t="str">
        <x:v>Temporary supply</x:v>
      </x:c>
      <x:c r="I16" s="21" t="str">
        <x:v>Access and capacity must grow together</x:v>
      </x:c>
    </x:row>
    <x:row r="17">
      <x:c r="A17" s="21" t="str">
        <x:v>EV_ALGAE</x:v>
      </x:c>
      <x:c r="B17" s="21" t="str">
        <x:v>Algal bloom</x:v>
      </x:c>
      <x:c r="C17" s="21" t="str">
        <x:v>Warm + nutrients</x:v>
      </x:c>
      <x:c r="D17" s="21" t="str">
        <x:v>None</x:v>
      </x:c>
      <x:c r="E17" s="21" t="str">
        <x:v>Organic load +18</x:v>
      </x:c>
      <x:c r="F17" s="21" t="str">
        <x:v>Carbon treatment</x:v>
      </x:c>
      <x:c r="G17" s="21" t="str">
        <x:v>Reduce nutrients</x:v>
      </x:c>
      <x:c r="H17" s="21" t="str">
        <x:v>Blend source</x:v>
      </x:c>
      <x:c r="I17" s="21" t="str">
        <x:v>Source condition changes treatment needs</x:v>
      </x:c>
    </x:row>
    <x:row r="18">
      <x:c r="A18" s="21" t="str">
        <x:v>EV_BREAK</x:v>
      </x:c>
      <x:c r="B18" s="21" t="str">
        <x:v>Main break</x:v>
      </x:c>
      <x:c r="C18" s="21" t="str">
        <x:v>Low condition</x:v>
      </x:c>
      <x:c r="D18" s="21" t="str">
        <x:v>Loss +20 points</x:v>
      </x:c>
      <x:c r="E18" s="21" t="str">
        <x:v>Pressure/intrusion risk</x:v>
      </x:c>
      <x:c r="F18" s="21" t="str">
        <x:v>Emergency repair</x:v>
      </x:c>
      <x:c r="G18" s="21" t="str">
        <x:v>Isolate area</x:v>
      </x:c>
      <x:c r="H18" s="21" t="str">
        <x:v>Use storage</x:v>
      </x:c>
      <x:c r="I18" s="21" t="str">
        <x:v>Networks need redundancy</x:v>
      </x:c>
    </x:row>
    <x:row r="19">
      <x:c r="A19" s="21" t="str">
        <x:v>EV_CAMPAIGN</x:v>
      </x:c>
      <x:c r="B19" s="21" t="str">
        <x:v>Conservation campaign</x:v>
      </x:c>
      <x:c r="C19" s="21" t="str">
        <x:v>Player initiated</x:v>
      </x:c>
      <x:c r="D19" s="21" t="str">
        <x:v>Demand −8% temporary</x:v>
      </x:c>
      <x:c r="E19" s="21" t="str">
        <x:v>None</x:v>
      </x:c>
      <x:c r="F19" s="21" t="str">
        <x:v>Fund campaign</x:v>
      </x:c>
      <x:c r="G19" s="21" t="str">
        <x:v>Install fixtures</x:v>
      </x:c>
      <x:c r="H19" s="21" t="str">
        <x:v>Do nothing</x:v>
      </x:c>
      <x:c r="I19" s="21" t="str">
        <x:v>Behavior and infrastructure differ</x:v>
      </x:c>
    </x:row>
    <x:row r="20">
      <x:c r="A20" s="21" t="str">
        <x:v>EV_GRANT</x:v>
      </x:c>
      <x:c r="B20" s="21" t="str">
        <x:v>Grant opportunity</x:v>
      </x:c>
      <x:c r="C20" s="21" t="str">
        <x:v>Objective</x:v>
      </x:c>
      <x:c r="D20" s="21" t="str">
        <x:v>Funding if target met</x:v>
      </x:c>
      <x:c r="E20" s="21" t="str">
        <x:v>Depends on project</x:v>
      </x:c>
      <x:c r="F20" s="21" t="str">
        <x:v>Apply for leaks</x:v>
      </x:c>
      <x:c r="G20" s="21" t="str">
        <x:v>Apply for lab</x:v>
      </x:c>
      <x:c r="H20" s="21" t="str">
        <x:v>Apply for reuse</x:v>
      </x:c>
      <x:c r="I20" s="21" t="str">
        <x:v>Funding can reward transparent outcomes</x:v>
      </x:c>
    </x:row>
    <x:row r="21">
      <x:c r="A21" s="21" t="str">
        <x:v>EV_LOWRES</x:v>
      </x:c>
      <x:c r="B21" s="21" t="str">
        <x:v>Low reservoir</x:v>
      </x:c>
      <x:c r="C21" s="21" t="str">
        <x:v>Storage &lt;25%</x:v>
      </x:c>
      <x:c r="D21" s="21" t="str">
        <x:v>Reserve critical</x:v>
      </x:c>
      <x:c r="E21" s="21" t="str">
        <x:v>Concentration +3</x:v>
      </x:c>
      <x:c r="F21" s="21" t="str">
        <x:v>Voluntary cuts</x:v>
      </x:c>
      <x:c r="G21" s="21" t="str">
        <x:v>Mandatory cuts</x:v>
      </x:c>
      <x:c r="H21" s="21" t="str">
        <x:v>Accelerate source</x:v>
      </x:c>
      <x:c r="I21" s="21" t="str">
        <x:v>Short-term and long-term responses differ</x:v>
      </x:c>
    </x:row>
    <x:row r="22">
      <x:c r="A22" s="21" t="str">
        <x:v>EV_RAINY</x:v>
      </x:c>
      <x:c r="B22" s="21" t="str">
        <x:v>Strong rainy season</x:v>
      </x:c>
      <x:c r="C22" s="21" t="str">
        <x:v>Seasonal</x:v>
      </x:c>
      <x:c r="D22" s="21" t="str">
        <x:v>Storage +30%</x:v>
      </x:c>
      <x:c r="E22" s="21" t="str">
        <x:v>Turbidity +8</x:v>
      </x:c>
      <x:c r="F22" s="21" t="str">
        <x:v>Store surplus</x:v>
      </x:c>
      <x:c r="G22" s="21" t="str">
        <x:v>Expand service</x:v>
      </x:c>
      <x:c r="H22" s="21" t="str">
        <x:v>Restore watershed</x:v>
      </x:c>
      <x:c r="I22" s="21" t="str">
        <x:v>Temporary abundance is not permanent security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219999313354492" hidden="0" customWidth="1"/>
    <x:col min="2" max="2" width="25.559999465942383" hidden="0" customWidth="1"/>
    <x:col min="3" max="3" width="25.559999465942383" hidden="0" customWidth="1"/>
    <x:col min="4" max="4" width="14.4399995803833" hidden="0" customWidth="1"/>
    <x:col min="5" max="5" width="22.219999313354492" hidden="0" customWidth="1"/>
    <x:col min="6" max="6" width="23.329999923706055" hidden="0" customWidth="1"/>
    <x:col min="7" max="7" width="12.220000267028809" hidden="0" customWidth="1"/>
    <x:col min="8" max="8" width="10.5600004196167" hidden="0" customWidth="1"/>
  </x:cols>
  <x:sheetData>
    <x:row r="2" ht="25" customHeight="1">
      <x:c r="A2" s="2" t="str">
        <x:v>Progression and feature tiers</x:v>
      </x:c>
      <x:c r="B2" s="1"/>
      <x:c r="C2" s="1"/>
      <x:c r="D2" s="1"/>
      <x:c r="E2" s="1"/>
      <x:c r="F2" s="1"/>
      <x:c r="G2" s="1"/>
      <x:c r="H2" s="1"/>
    </x:row>
    <x:row r="4" ht="31" customHeight="1">
      <x:c r="A4" s="14" t="str">
        <x:v>Chapter</x:v>
      </x:c>
      <x:c r="B4" s="15" t="str">
        <x:v>Player question</x:v>
      </x:c>
      <x:c r="C4" s="15" t="str">
        <x:v>New systems</x:v>
      </x:c>
      <x:c r="D4" s="15" t="str">
        <x:v>Measures visible</x:v>
      </x:c>
      <x:c r="E4" s="15" t="str">
        <x:v>Required mastery</x:v>
      </x:c>
      <x:c r="F4" s="15" t="str">
        <x:v>Completion gate</x:v>
      </x:c>
      <x:c r="G4" s="15" t="str">
        <x:v>Target session</x:v>
      </x:c>
      <x:c r="H4" s="16" t="str">
        <x:v>MVP</x:v>
      </x:c>
    </x:row>
    <x:row r="5">
      <x:c r="A5" s="20" t="str">
        <x:v>Tutorial: See the system</x:v>
      </x:c>
      <x:c r="B5" s="20" t="str">
        <x:v>Where does the water go?</x:v>
      </x:c>
      <x:c r="C5" s="20" t="str">
        <x:v>River, storage, homes, school, clinic, farm, testing, filtration, disinfection, leaks</x:v>
      </x:c>
      <x:c r="D5" s="20" t="str">
        <x:v>Turbidity, microbial risk, quality, availability</x:v>
      </x:c>
      <x:c r="E5" s="20" t="str">
        <x:v>Inspect, allocate, treat</x:v>
      </x:c>
      <x:c r="F5" s="20" t="str">
        <x:v>Safe adequate service for 3 days</x:v>
      </x:c>
      <x:c r="G5" s="20" t="str">
        <x:v>4–6 min</x:v>
      </x:c>
      <x:c r="H5" s="20" t="str">
        <x:v>Yes</x:v>
      </x:c>
    </x:row>
    <x:row r="6">
      <x:c r="A6" s="21" t="str">
        <x:v>Early: Balance quantity and quality</x:v>
      </x:c>
      <x:c r="B6" s="21" t="str">
        <x:v>Can growth stay safe?</x:v>
      </x:c>
      <x:c r="C6" s="21" t="str">
        <x:v>Nutrients, organic load, maintenance, weather, wastewater</x:v>
      </x:c>
      <x:c r="D6" s="21" t="str">
        <x:v>Five scores and wastewater</x:v>
      </x:c>
      <x:c r="E6" s="21" t="str">
        <x:v>Capacity, storage, conservation</x:v>
      </x:c>
      <x:c r="F6" s="21" t="str">
        <x:v>Water Security ≥70 for 5 days</x:v>
      </x:c>
      <x:c r="G6" s="21" t="str">
        <x:v>5–7 min</x:v>
      </x:c>
      <x:c r="H6" s="21" t="str">
        <x:v>Yes</x:v>
      </x:c>
    </x:row>
    <x:row r="7">
      <x:c r="A7" s="21" t="str">
        <x:v>Mid: Shape the watershed</x:v>
      </x:c>
      <x:c r="B7" s="21" t="str">
        <x:v>Treat pollution or prevent it?</x:v>
      </x:c>
      <x:c r="C7" s="21" t="str">
        <x:v>Industry, chemicals, land use, wetlands, reuse, community priorities</x:v>
      </x:c>
      <x:c r="D7" s="21" t="str">
        <x:v>Runoff, source loads, access, resilience</x:v>
      </x:c>
      <x:c r="E7" s="21" t="str">
        <x:v>Compare prevention and treatment</x:v>
      </x:c>
      <x:c r="F7" s="21" t="str">
        <x:v>Serve target population for 7 days</x:v>
      </x:c>
      <x:c r="G7" s="21" t="str">
        <x:v>6–8 min</x:v>
      </x:c>
      <x:c r="H7" s="21" t="str">
        <x:v>Reduced MVP</x:v>
      </x:c>
    </x:row>
    <x:row r="8">
      <x:c r="A8" s="21" t="str">
        <x:v>Late: Build resilience</x:v>
      </x:c>
      <x:c r="B8" s="21" t="str">
        <x:v>Will the system survive change?</x:v>
      </x:c>
      <x:c r="C8" s="21" t="str">
        <x:v>Drought, multiple sources, advanced treatment, aging assets, districts</x:v>
      </x:c>
      <x:c r="D8" s="21" t="str">
        <x:v>Reserve days, source diversity, failure risk</x:v>
      </x:c>
      <x:c r="E8" s="21" t="str">
        <x:v>Redundancy and lifecycle planning</x:v>
      </x:c>
      <x:c r="F8" s="21" t="str">
        <x:v>Full scenario completion rules</x:v>
      </x:c>
      <x:c r="G8" s="21" t="str">
        <x:v>8–12 min</x:v>
      </x:c>
      <x:c r="H8" s="21" t="str">
        <x:v>Later</x:v>
      </x:c>
    </x:row>
    <x:row r="9">
      <x:c r="A9" s="21" t="str">
        <x:v>Science mode</x:v>
      </x:c>
      <x:c r="B9" s="21" t="str">
        <x:v>What is beneath the summary score?</x:v>
      </x:c>
      <x:c r="C9" s="21" t="str">
        <x:v>Alkalinity, hardness, salinity, specific contaminants, residuals</x:v>
      </x:c>
      <x:c r="D9" s="21" t="str">
        <x:v>Sourced technical measurements</x:v>
      </x:c>
      <x:c r="E9" s="21" t="str">
        <x:v>Scenario-specific science</x:v>
      </x:c>
      <x:c r="F9" s="21" t="str">
        <x:v>Scenario dependent</x:v>
      </x:c>
      <x:c r="G9" s="21" t="str">
        <x:v>Optional</x:v>
      </x:c>
      <x:c r="H9" s="21" t="str">
        <x:v>Later</x:v>
      </x:c>
    </x:row>
    <x:row r="12" ht="31" customHeight="1">
      <x:c r="A12" s="14" t="str">
        <x:v>Feature tier</x:v>
      </x:c>
      <x:c r="B12" s="15" t="str">
        <x:v>Feature</x:v>
      </x:c>
      <x:c r="C12" s="15" t="str">
        <x:v>Why it matters</x:v>
      </x:c>
      <x:c r="D12" s="16" t="str">
        <x:v>Decision</x:v>
      </x:c>
    </x:row>
    <x:row r="13">
      <x:c r="A13" s="20" t="str">
        <x:v>Must have</x:v>
      </x:c>
      <x:c r="B13" s="20" t="str">
        <x:v>Daily source-to-wastewater loop</x:v>
      </x:c>
      <x:c r="C13" s="20" t="str">
        <x:v>Makes water a system rather than a collectible</x:v>
      </x:c>
      <x:c r="D13" s="20" t="str">
        <x:v>Build first</x:v>
      </x:c>
    </x:row>
    <x:row r="14">
      <x:c r="A14" s="21" t="str">
        <x:v>Must have</x:v>
      </x:c>
      <x:c r="B14" s="21" t="str">
        <x:v>Testing and treatment matching</x:v>
      </x:c>
      <x:c r="C14" s="21" t="str">
        <x:v>Carries the core science lesson</x:v>
      </x:c>
      <x:c r="D14" s="21" t="str">
        <x:v>Build first</x:v>
      </x:c>
    </x:row>
    <x:row r="15">
      <x:c r="A15" s="21" t="str">
        <x:v>Must have</x:v>
      </x:c>
      <x:c r="B15" s="21" t="str">
        <x:v>Allocation and shortages</x:v>
      </x:c>
      <x:c r="C15" s="21" t="str">
        <x:v>Creates understandable tradeoffs</x:v>
      </x:c>
      <x:c r="D15" s="21" t="str">
        <x:v>Build first</x:v>
      </x:c>
    </x:row>
    <x:row r="16">
      <x:c r="A16" s="21" t="str">
        <x:v>Must have</x:v>
      </x:c>
      <x:c r="B16" s="21" t="str">
        <x:v>Visible scores and human routines</x:v>
      </x:c>
      <x:c r="C16" s="21" t="str">
        <x:v>Connects numbers to people</x:v>
      </x:c>
      <x:c r="D16" s="21" t="str">
        <x:v>Build first</x:v>
      </x:c>
    </x:row>
    <x:row r="17">
      <x:c r="A17" s="21" t="str">
        <x:v>Must have</x:v>
      </x:c>
      <x:c r="B17" s="21" t="str">
        <x:v>Conservation, leaks, and maintenance</x:v>
      </x:c>
      <x:c r="C17" s="21" t="str">
        <x:v>Prevents expansion-only play</x:v>
      </x:c>
      <x:c r="D17" s="21" t="str">
        <x:v>Build first</x:v>
      </x:c>
    </x:row>
    <x:row r="18">
      <x:c r="A18" s="21" t="str">
        <x:v>Should have</x:v>
      </x:c>
      <x:c r="B18" s="21" t="str">
        <x:v>Land-use runoff and wetlands</x:v>
      </x:c>
      <x:c r="C18" s="21" t="str">
        <x:v>Adds prevention and watershed thinking</x:v>
      </x:c>
      <x:c r="D18" s="21" t="str">
        <x:v>After core loop</x:v>
      </x:c>
    </x:row>
    <x:row r="19">
      <x:c r="A19" s="21" t="str">
        <x:v>Should have</x:v>
      </x:c>
      <x:c r="B19" s="21" t="str">
        <x:v>Resident representatives</x:v>
      </x:c>
      <x:c r="C19" s="21" t="str">
        <x:v>Adds agency and emotional legibility</x:v>
      </x:c>
      <x:c r="D19" s="21" t="str">
        <x:v>After core loop</x:v>
      </x:c>
    </x:row>
    <x:row r="20">
      <x:c r="A20" s="21" t="str">
        <x:v>Should have</x:v>
      </x:c>
      <x:c r="B20" s="21" t="str">
        <x:v>Wastewater reuse</x:v>
      </x:c>
      <x:c r="C20" s="21" t="str">
        <x:v>Completes the cycle</x:v>
      </x:c>
      <x:c r="D20" s="21" t="str">
        <x:v>After core loop</x:v>
      </x:c>
    </x:row>
    <x:row r="21">
      <x:c r="A21" s="21" t="str">
        <x:v>Could have</x:v>
      </x:c>
      <x:c r="B21" s="21" t="str">
        <x:v>Multiple districts and sources</x:v>
      </x:c>
      <x:c r="C21" s="21" t="str">
        <x:v>Adds strategy and resilience</x:v>
      </x:c>
      <x:c r="D21" s="21" t="str">
        <x:v>Later</x:v>
      </x:c>
    </x:row>
    <x:row r="22">
      <x:c r="A22" s="21" t="str">
        <x:v>Could have</x:v>
      </x:c>
      <x:c r="B22" s="21" t="str">
        <x:v>Science mode</x:v>
      </x:c>
      <x:c r="C22" s="21" t="str">
        <x:v>Adds depth without burdening beginners</x:v>
      </x:c>
      <x:c r="D22" s="21" t="str">
        <x:v>Later</x:v>
      </x:c>
    </x:row>
    <x:row r="23">
      <x:c r="A23" s="21" t="str">
        <x:v>Dream</x:v>
      </x:c>
      <x:c r="B23" s="21" t="str">
        <x:v>Real project explorer and maps</x:v>
      </x:c>
      <x:c r="C23" s="21" t="str">
        <x:v>Connects learning to real work</x:v>
      </x:c>
      <x:c r="D23" s="21" t="str">
        <x:v>Only with verified data and permissions</x:v>
      </x:c>
    </x:row>
    <x:row r="24">
      <x:c r="A24" s="21" t="str">
        <x:v>Dream</x:v>
      </x:c>
      <x:c r="B24" s="21" t="str">
        <x:v>Scenario authoring toolkit</x:v>
      </x:c>
      <x:c r="C24" s="21" t="str">
        <x:v>Lets educators create local cases</x:v>
      </x:c>
      <x:c r="D24" s="21" t="str">
        <x:v>After stable simulation API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.559999465942383" hidden="0" customWidth="1"/>
    <x:col min="3" max="3" width="28.889999389648438" hidden="0" customWidth="1"/>
    <x:col min="4" max="4" width="12.220000267028809" hidden="0" customWidth="1"/>
    <x:col min="5" max="5" width="28.889999389648438" hidden="0" customWidth="1"/>
    <x:col min="6" max="6" width="40" hidden="0" customWidth="1"/>
    <x:col min="7" max="7" width="7.78000020980835" hidden="0" customWidth="1"/>
  </x:cols>
  <x:sheetData>
    <x:row r="2" ht="25" customHeight="1">
      <x:c r="A2" s="2" t="str">
        <x:v>Scientific sources and provenance rules</x:v>
      </x:c>
      <x:c r="B2" s="1"/>
      <x:c r="C2" s="1"/>
      <x:c r="D2" s="1"/>
      <x:c r="E2" s="1"/>
      <x:c r="F2" s="1"/>
      <x:c r="G2" s="1"/>
    </x:row>
    <x:row r="4" ht="31" customHeight="1">
      <x:c r="A4" s="14" t="str">
        <x:v>Source ID</x:v>
      </x:c>
      <x:c r="B4" s="15" t="str">
        <x:v>Authority</x:v>
      </x:c>
      <x:c r="C4" s="15" t="str">
        <x:v>Title</x:v>
      </x:c>
      <x:c r="D4" s="15" t="str">
        <x:v>Date</x:v>
      </x:c>
      <x:c r="E4" s="15" t="str">
        <x:v>Used for</x:v>
      </x:c>
      <x:c r="F4" s="15" t="str">
        <x:v>URL</x:v>
      </x:c>
      <x:c r="G4" s="16" t="str">
        <x:v>Priority</x:v>
      </x:c>
    </x:row>
    <x:row r="5">
      <x:c r="A5" s="20" t="str">
        <x:v>WHO_GDWQ_2026</x:v>
      </x:c>
      <x:c r="B5" s="20" t="str">
        <x:v>World Health Organization</x:v>
      </x:c>
      <x:c r="C5" s="20" t="str">
        <x:v>Guidelines for drinking-water quality: fourth edition incorporating first, second and third addenda</x:v>
      </x:c>
      <x:c r="D5" s="44" t="str">
        <x:v>2026-06-17</x:v>
      </x:c>
      <x:c r="E5" s="20" t="str">
        <x:v>Primary framework; catchment-to-consumer risk management; microbial and chemical hazards; water safety plans</x:v>
      </x:c>
      <x:c r="F5" s="20" t="str">
        <x:v>https://www.who.int/publications/i/item/9789240121225</x:v>
      </x:c>
      <x:c r="G5" s="20" t="n">
        <x:v>1</x:v>
      </x:c>
    </x:row>
    <x:row r="6">
      <x:c r="A6" s="21" t="str">
        <x:v>WHO_FACT_DW</x:v>
      </x:c>
      <x:c r="B6" s="21" t="str">
        <x:v>World Health Organization</x:v>
      </x:c>
      <x:c r="C6" s="21" t="str">
        <x:v>Drinking-water fact sheet</x:v>
      </x:c>
      <x:c r="D6" s="45" t="str">
        <x:v>2023-09-13</x:v>
      </x:c>
      <x:c r="E6" s="21" t="str">
        <x:v>Safely managed service dimensions; microbial risk; social and economic effects; wastewater reuse context</x:v>
      </x:c>
      <x:c r="F6" s="21" t="str">
        <x:v>https://www.who.int/news-room/fact-sheets/detail/drinking-water</x:v>
      </x:c>
      <x:c r="G6" s="21" t="n">
        <x:v>1</x:v>
      </x:c>
    </x:row>
    <x:row r="7">
      <x:c r="A7" s="21" t="str">
        <x:v>WHO_TREAT</x:v>
      </x:c>
      <x:c r="B7" s="21" t="str">
        <x:v>World Health Organization</x:v>
      </x:c>
      <x:c r="C7" s="21" t="str">
        <x:v>Treatment methods and performance</x:v>
      </x:c>
      <x:c r="D7" s="45" t="str">
        <x:v>2022-05-04</x:v>
      </x:c>
      <x:c r="E7" s="21" t="str">
        <x:v>Treatment process roles and matching treatment to water-quality needs</x:v>
      </x:c>
      <x:c r="F7" s="21" t="str">
        <x:v>https://www.who.int/publications/m/item/treatment-methods-and-performance</x:v>
      </x:c>
      <x:c r="G7" s="21" t="n">
        <x:v>1</x:v>
      </x:c>
    </x:row>
    <x:row r="8">
      <x:c r="A8" s="21" t="str">
        <x:v>EPA_DW</x:v>
      </x:c>
      <x:c r="B8" s="21" t="str">
        <x:v>U.S. Environmental Protection Agency</x:v>
      </x:c>
      <x:c r="C8" s="21" t="str">
        <x:v>Ground Water and Drinking Water</x:v>
      </x:c>
      <x:c r="D8" s="45" t="str">
        <x:v>Current web guidance</x:v>
      </x:c>
      <x:c r="E8" s="21" t="str">
        <x:v>Secondary U.S.-focused treatment, infrastructure, source-water, and regulatory context</x:v>
      </x:c>
      <x:c r="F8" s="21" t="str">
        <x:v>https://www.epa.gov/ground-water-and-drinking-water</x:v>
      </x:c>
      <x:c r="G8" s="21" t="n">
        <x:v>2</x:v>
      </x:c>
    </x:row>
    <x:row r="11" ht="31" customHeight="1">
      <x:c r="A11" s="14" t="str">
        <x:v>Provenance class</x:v>
      </x:c>
      <x:c r="B11" s="15" t="str">
        <x:v>Meaning</x:v>
      </x:c>
      <x:c r="C11" s="15" t="str">
        <x:v>Allowed use</x:v>
      </x:c>
      <x:c r="D11" s="15" t="str">
        <x:v>Required label</x:v>
      </x:c>
      <x:c r="E11" s="15" t="str">
        <x:v>May tune?</x:v>
      </x:c>
      <x:c r="F11" s="15" t="str">
        <x:v>Code field</x:v>
      </x:c>
      <x:c r="G11" s="16" t="str">
        <x:v>Example</x:v>
      </x:c>
    </x:row>
    <x:row r="12">
      <x:c r="A12" s="20" t="str">
        <x:v>Scientific relationship</x:v>
      </x:c>
      <x:c r="B12" s="20" t="str">
        <x:v>Direction or relationship supported by authority</x:v>
      </x:c>
      <x:c r="C12" s="20" t="str">
        <x:v>Core simulation behavior</x:v>
      </x:c>
      <x:c r="D12" s="20" t="str">
        <x:v>Source citation</x:v>
      </x:c>
      <x:c r="E12" s="20" t="str">
        <x:v>No, unless evidence changes</x:v>
      </x:c>
      <x:c r="F12" s="20" t="str">
        <x:v>sourceRefs</x:v>
      </x:c>
      <x:c r="G12" s="20" t="str">
        <x:v>Faecal contamination increases microbial risk</x:v>
      </x:c>
    </x:row>
    <x:row r="13">
      <x:c r="A13" s="21" t="str">
        <x:v>Gameplay abstraction</x:v>
      </x:c>
      <x:c r="B13" s="21" t="str">
        <x:v>Simplified representation of a real system</x:v>
      </x:c>
      <x:c r="C13" s="21" t="str">
        <x:v>Indexes, categories, combined hazards</x:v>
      </x:c>
      <x:c r="D13" s="21" t="str">
        <x:v>Simplified for gameplay</x:v>
      </x:c>
      <x:c r="E13" s="21" t="str">
        <x:v>Yes, while preserving relationship</x:v>
      </x:c>
      <x:c r="F13" s="21" t="str">
        <x:v>abstractionNote</x:v>
      </x:c>
      <x:c r="G13" s="21" t="str">
        <x:v>Microbial risk represented 0–100</x:v>
      </x:c>
    </x:row>
    <x:row r="14">
      <x:c r="A14" s="21" t="str">
        <x:v>Balance coefficient</x:v>
      </x:c>
      <x:c r="B14" s="21" t="str">
        <x:v>Invented number for pace and challenge</x:v>
      </x:c>
      <x:c r="C14" s="21" t="str">
        <x:v>Costs, capacities, event modifiers, removal percentages</x:v>
      </x:c>
      <x:c r="D14" s="21" t="str">
        <x:v>Gameplay assumption</x:v>
      </x:c>
      <x:c r="E14" s="21" t="str">
        <x:v>Yes; version every change</x:v>
      </x:c>
      <x:c r="F14" s="21" t="str">
        <x:v>balanceVersion</x:v>
      </x:c>
      <x:c r="G14" s="21" t="str">
        <x:v>Media filter removes 70% game turbidity load</x:v>
      </x:c>
    </x:row>
    <x:row r="15">
      <x:c r="A15" s="21" t="str">
        <x:v>Scenario fact</x:v>
      </x:c>
      <x:c r="B15" s="21" t="str">
        <x:v>Value tied to one documented case</x:v>
      </x:c>
      <x:c r="C15" s="21" t="str">
        <x:v>Science mode or verified scenarios</x:v>
      </x:c>
      <x:c r="D15" s="21" t="str">
        <x:v>Specific source and date</x:v>
      </x:c>
      <x:c r="E15" s="21" t="str">
        <x:v>Only with scenario redesign</x:v>
      </x:c>
      <x:c r="F15" s="21" t="str">
        <x:v>scenarioSource</x:v>
      </x:c>
      <x:c r="G15" s="21" t="str">
        <x:v>Scenario-specific source volume</x:v>
      </x:c>
    </x:row>
    <x:row r="16">
      <x:c r="A16" s="21" t="str">
        <x:v>UI interpretation</x:v>
      </x:c>
      <x:c r="B16" s="21" t="str">
        <x:v>Player-facing summary of model state</x:v>
      </x:c>
      <x:c r="C16" s="21" t="str">
        <x:v>Tooltips and end-of-day explanation</x:v>
      </x:c>
      <x:c r="D16" s="21" t="str">
        <x:v>Plain-language explanation</x:v>
      </x:c>
      <x:c r="E16" s="21" t="str">
        <x:v>Yes</x:v>
      </x:c>
      <x:c r="F16" s="21" t="str">
        <x:v>explanationKey</x:v>
      </x:c>
      <x:c r="G16" s="21" t="str">
        <x:v>Leak repair recovered 12 water units</x:v>
      </x:c>
    </x:row>
    <x:row r="19" ht="54" customHeight="1">
      <x:c r="A19" s="25" t="str">
        <x:v>Required in-game wording</x:v>
      </x:c>
      <x:c r="B19" s="28" t="str">
        <x:v>Most scientific relationships are simplified from WHO Guidelines for Drinking-water Quality. Numerical costs, speeds, capacities, and removal coefficients are gameplay assumptions unless a source is specifically identified. The simulation is educational and is not engineering or drinking-water safety guidance.</x:v>
      </x:c>
      <x:c r="C19" s="26"/>
      <x:c r="D19" s="26"/>
      <x:c r="E19" s="26"/>
      <x:c r="F19" s="26"/>
      <x:c r="G19" s="27"/>
    </x:row>
  </x:sheetData>
  <x:mergeCells>
    <x:mergeCell ref="B19:G19"/>
  </x:mergeCells>
  <x:pageMargins left="0.7" right="0.7" top="0.75" bottom="0.75" header="0.3" footer="0.3"/>
</x:worksheet>
</file>